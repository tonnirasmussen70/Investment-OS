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854CFE81-4562-41E0-99E8-192F7AA1137D}" xr6:coauthVersionLast="47" xr6:coauthVersionMax="47" xr10:uidLastSave="{00000000-0000-0000-0000-000000000000}"/>
  <bookViews>
    <workbookView xWindow="28680" yWindow="750" windowWidth="29040" windowHeight="15720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1" l="1"/>
  <c r="O29" i="1"/>
  <c r="G30" i="1"/>
  <c r="R5" i="1" l="1"/>
  <c r="Q5" i="1"/>
  <c r="P5" i="1"/>
  <c r="O5" i="1"/>
  <c r="O12" i="1"/>
  <c r="P12" i="1"/>
  <c r="Q12" i="1"/>
  <c r="R12" i="1"/>
  <c r="M15" i="1"/>
  <c r="O19" i="1"/>
  <c r="O2" i="1"/>
  <c r="E2" i="7"/>
  <c r="O30" i="1"/>
  <c r="M30" i="1"/>
  <c r="L30" i="1"/>
  <c r="P30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0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8" i="1"/>
  <c r="Q28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8" i="1"/>
  <c r="N24" i="1"/>
  <c r="N26" i="1"/>
  <c r="N13" i="1"/>
  <c r="P4" i="1"/>
  <c r="N7" i="1"/>
  <c r="N23" i="1"/>
  <c r="N18" i="1"/>
  <c r="N25" i="1"/>
  <c r="N27" i="1"/>
  <c r="S29" i="1" l="1"/>
  <c r="Q3" i="1"/>
  <c r="Q11" i="1"/>
  <c r="S5" i="1"/>
  <c r="Q10" i="1"/>
  <c r="R2" i="1"/>
  <c r="S12" i="1"/>
  <c r="S16" i="1"/>
  <c r="S9" i="1"/>
  <c r="Q20" i="1"/>
  <c r="Q2" i="1"/>
  <c r="S30" i="1"/>
  <c r="Q17" i="1"/>
  <c r="S15" i="1"/>
  <c r="S3" i="1"/>
  <c r="R30" i="1"/>
  <c r="Q30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8" i="1"/>
  <c r="S22" i="1"/>
  <c r="R22" i="1"/>
  <c r="Q22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<sst xmlns="http://schemas.openxmlformats.org/spreadsheetml/2006/main" count="594" uniqueCount="216">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</sst>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zoomScale="80" zoomScaleNormal="80" workbookViewId="0">
      <selection activeCell="C35" sqref="C35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22</v>
      </c>
      <c r="H2" s="8">
        <v>923.49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8" ca="1" si="1">IFERROR(G2*K2*L2,"")</f>
        <v/>
      </c>
      <c r="O2" s="12">
        <f>IFERROR(K2/H2-1,"")</f>
        <v>5.4694690792536971E-2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ca="1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0" si="5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ca="1">IF(W3=TRUE,IFERROR(N3/SUMIFS($N$2:$N$501,$W$2:$W$501,TRUE),0),0)</f>
        <v>5.5005901000702934E-2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5</v>
      </c>
      <c r="H4" s="8">
        <v>1126.28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5"/>
        <v>0.32986468728912888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ca="1">IF(W4=TRUE,IFERROR(N4/SUMIFS($N$2:$N$501,$W$2:$W$501,TRUE),0),0)</f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213</v>
      </c>
      <c r="D5" s="6" t="s">
        <v>212</v>
      </c>
      <c r="E5" s="6" t="s">
        <v>210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6">IFERROR(K5/H5-1,"")</f>
        <v>-2.3346057986560753E-3</v>
      </c>
      <c r="P5" s="12" t="str">
        <f t="shared" ref="P5" si="7">IFERROR(L5/J5-1,"")</f>
        <v/>
      </c>
      <c r="Q5" s="11">
        <f t="shared" ref="Q5" si="8">IFERROR(N5-M5,"")</f>
        <v>0</v>
      </c>
      <c r="R5" s="12" t="str">
        <f t="shared" ref="R5" si="9">IFERROR(N5/M5-1,"")</f>
        <v/>
      </c>
      <c r="S5" s="12">
        <f ca="1">IF(W5=TRUE,IFERROR(N5/SUMIFS($N$2:$N$501,$W$2:$W$501,TRUE),0),0)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5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ca="1">IF(W6=TRUE,IFERROR(N6/SUMIFS($N$2:$N$501,$W$2:$W$501,TRUE),0),0)</f>
        <v>6.3600573032062777E-2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76</v>
      </c>
      <c r="H7" s="8">
        <v>47.25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5"/>
        <v>-0.15343915343915349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ca="1">IF(W7=TRUE,IFERROR(N7/SUMIFS($N$2:$N$501,$W$2:$W$501,TRUE),0),0)</f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5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ca="1">IF(W8=TRUE,IFERROR(N8/SUMIFS($N$2:$N$501,$W$2:$W$501,TRUE),0),0)</f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5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ca="1">IF(W9=TRUE,IFERROR(N9/SUMIFS($N$2:$N$501,$W$2:$W$501,TRUE),0),0)</f>
        <v>7.7291380009075969E-2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396</v>
      </c>
      <c r="H10" s="8">
        <v>433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171468</v>
      </c>
      <c r="N10" s="11">
        <f t="shared" si="1"/>
        <v>118008</v>
      </c>
      <c r="O10" s="12">
        <f t="shared" si="5"/>
        <v>-0.31177829099307164</v>
      </c>
      <c r="P10" s="12">
        <f t="shared" si="2"/>
        <v>0</v>
      </c>
      <c r="Q10" s="11">
        <f t="shared" si="3"/>
        <v>-53460</v>
      </c>
      <c r="R10" s="12">
        <f t="shared" si="4"/>
        <v>-0.31177829099307164</v>
      </c>
      <c r="S10" s="12">
        <f ca="1">IF(W10=TRUE,IFERROR(N10/SUMIFS($N$2:$N$501,$W$2:$W$501,TRUE),0),0)</f>
        <v>0.1590964795414449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33</v>
      </c>
      <c r="H11" s="8">
        <v>710.62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23450.46</v>
      </c>
      <c r="N11" s="11">
        <f t="shared" si="1"/>
        <v>27944.399999999998</v>
      </c>
      <c r="O11" s="12">
        <f t="shared" si="5"/>
        <v>0.19163547324871222</v>
      </c>
      <c r="P11" s="12">
        <f t="shared" si="2"/>
        <v>0</v>
      </c>
      <c r="Q11" s="11">
        <f t="shared" si="3"/>
        <v>4493.9399999999987</v>
      </c>
      <c r="R11" s="12">
        <f t="shared" si="4"/>
        <v>0.19163547324871244</v>
      </c>
      <c r="S11" s="12">
        <f ca="1">IF(W11=TRUE,IFERROR(N11/SUMIFS($N$2:$N$501,$W$2:$W$501,TRUE),0),0)</f>
        <v>3.7674188723628502E-2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203</v>
      </c>
      <c r="D12" s="6" t="s">
        <v>205</v>
      </c>
      <c r="E12" s="6" t="s">
        <v>204</v>
      </c>
      <c r="F12" s="6"/>
      <c r="G12" s="7">
        <v>17</v>
      </c>
      <c r="H12" s="8">
        <v>123.66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-0.10399482451884201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ca="1">IF(W12=TRUE,IFERROR(N12/SUMIFS($N$2:$N$501,$W$2:$W$501,TRUE),0),0)</f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5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ca="1">IF(W13=TRUE,IFERROR(N13/SUMIFS($N$2:$N$501,$W$2:$W$501,TRUE),0),0)</f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8</v>
      </c>
      <c r="H14" s="8">
        <v>408.97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5"/>
        <v>2.2079859158373516E-2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ca="1">IF(W14=TRUE,IFERROR(N14/SUMIFS($N$2:$N$501,$W$2:$W$501,TRUE),0),0)</f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104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16196.960000000001</v>
      </c>
      <c r="N15" s="11">
        <f t="shared" si="1"/>
        <v>18361.2</v>
      </c>
      <c r="O15" s="12">
        <f t="shared" si="5"/>
        <v>0.13362013612430967</v>
      </c>
      <c r="P15" s="12">
        <f t="shared" si="2"/>
        <v>0</v>
      </c>
      <c r="Q15" s="11">
        <f t="shared" si="3"/>
        <v>2164.2399999999998</v>
      </c>
      <c r="R15" s="12">
        <f t="shared" si="4"/>
        <v>0.13362013612430967</v>
      </c>
      <c r="S15" s="12">
        <f ca="1">IF(W15=TRUE,IFERROR(N15/SUMIFS($N$2:$N$501,$W$2:$W$501,TRUE),0),0)</f>
        <v>2.4754273270933991E-2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206</v>
      </c>
      <c r="E16" s="6" t="s">
        <v>206</v>
      </c>
      <c r="F16" s="6"/>
      <c r="G16" s="7">
        <v>12</v>
      </c>
      <c r="H16" s="8">
        <v>60.59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5"/>
        <v>-4.2746327776860937E-2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ca="1">IF(W16=TRUE,IFERROR(N16/SUMIFS($N$2:$N$501,$W$2:$W$501,TRUE),0),0)</f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5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ca="1">IF(W17=TRUE,IFERROR(N17/SUMIFS($N$2:$N$501,$W$2:$W$501,TRUE),0),0)</f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ca="1">IF(W18=TRUE,IFERROR(N18/SUMIFS($N$2:$N$501,$W$2:$W$501,TRUE),0),0)</f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200</v>
      </c>
      <c r="D19" s="6" t="s">
        <v>201</v>
      </c>
      <c r="E19" s="6" t="s">
        <v>202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5"/>
        <v>-1.4225106064387316E-2</v>
      </c>
      <c r="P19" s="12"/>
      <c r="Q19" s="11"/>
      <c r="R19" s="12"/>
      <c r="S19" s="12"/>
      <c r="T19" s="6" t="s">
        <v>134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5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ca="1">IF(W20=TRUE,IFERROR(N20/SUMIFS($N$2:$N$501,$W$2:$W$501,TRUE),0),0)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313</v>
      </c>
      <c r="H21" s="8">
        <v>10.427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5"/>
        <v>0.63038266040088242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ca="1">IF(W21=TRUE,IFERROR(N21/SUMIFS($N$2:$N$501,$W$2:$W$501,TRUE),0),0)</f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5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ca="1">IF(W22=TRUE,IFERROR(N22/SUMIFS($N$2:$N$501,$W$2:$W$501,TRUE),0),0)</f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5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ca="1">IF(W23=TRUE,IFERROR(N23/SUMIFS($N$2:$N$501,$W$2:$W$501,TRUE),0),0)</f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30</v>
      </c>
      <c r="H24" s="8">
        <v>27.024999999999999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5"/>
        <v>-3.7927844588344084E-2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ca="1">IF(W24=TRUE,IFERROR(N24/SUMIFS($N$2:$N$501,$W$2:$W$501,TRUE),0),0)</f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5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ca="1">IF(W25=TRUE,IFERROR(N25/SUMIFS($N$2:$N$501,$W$2:$W$501,TRUE),0),0)</f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5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ca="1">IF(W26=TRUE,IFERROR(N26/SUMIFS($N$2:$N$501,$W$2:$W$501,TRUE),0),0)</f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5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ca="1">IF(W27=TRUE,IFERROR(N27/SUMIFS($N$2:$N$501,$W$2:$W$501,TRUE),0),0)</f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132</v>
      </c>
      <c r="D28" s="6" t="s">
        <v>133</v>
      </c>
      <c r="E28" s="6" t="s">
        <v>133</v>
      </c>
      <c r="F28" s="6"/>
      <c r="G28" s="7">
        <v>38</v>
      </c>
      <c r="H28" s="8">
        <v>166.35</v>
      </c>
      <c r="I28" s="6" t="s">
        <v>48</v>
      </c>
      <c r="J28" s="9"/>
      <c r="K28" s="8">
        <v>175.52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5"/>
        <v>5.5124737000300739E-2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ca="1">IF(W28=TRUE,IFERROR(N28/SUMIFS($N$2:$N$501,$W$2:$W$501,TRUE),0),0)</f>
        <v>0</v>
      </c>
      <c r="T28" s="6" t="s">
        <v>134</v>
      </c>
      <c r="U28" s="6" t="s">
        <v>135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131</v>
      </c>
      <c r="B29" s="6" t="s">
        <v>92</v>
      </c>
      <c r="C29" s="14" t="s">
        <v>214</v>
      </c>
      <c r="D29" s="6" t="s">
        <v>215</v>
      </c>
      <c r="E29" s="6" t="s">
        <v>215</v>
      </c>
      <c r="F29" s="6"/>
      <c r="G29" s="7">
        <v>17</v>
      </c>
      <c r="H29" s="8">
        <v>80.75</v>
      </c>
      <c r="I29" s="6" t="s">
        <v>48</v>
      </c>
      <c r="J29" s="9"/>
      <c r="K29" s="8">
        <v>80.75</v>
      </c>
      <c r="L29" s="13"/>
      <c r="M29" s="11">
        <f t="shared" si="0"/>
        <v>0</v>
      </c>
      <c r="N29" s="11"/>
      <c r="O29" s="12">
        <f t="shared" si="5"/>
        <v>0</v>
      </c>
      <c r="P29" s="12"/>
      <c r="Q29" s="11"/>
      <c r="R29" s="12"/>
      <c r="S29" s="12">
        <f ca="1">IF(W29=TRUE,IFERROR(N29/SUMIFS($N$2:$N$501,$W$2:$W$501,TRUE),0),0)</f>
        <v>0</v>
      </c>
      <c r="T29" s="6" t="s">
        <v>134</v>
      </c>
      <c r="U29" s="6" t="s">
        <v>135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136</v>
      </c>
      <c r="B30" s="6" t="s">
        <v>29</v>
      </c>
      <c r="C30" s="14" t="s">
        <v>137</v>
      </c>
      <c r="D30" s="6" t="s">
        <v>137</v>
      </c>
      <c r="E30" s="6" t="s">
        <v>137</v>
      </c>
      <c r="F30" s="6"/>
      <c r="G30" s="7">
        <f>260</f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5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ca="1">IF(W30=TRUE,IFERROR(N30/SUMIFS($N$2:$N$501,$W$2:$W$501,TRUE),0),0)</f>
        <v>0.58257720442215077</v>
      </c>
      <c r="T30" s="6" t="s">
        <v>58</v>
      </c>
      <c r="U30" s="6" t="s">
        <v>138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139</v>
      </c>
      <c r="C1" s="2" t="s">
        <v>140</v>
      </c>
      <c r="D1" s="2" t="s">
        <v>141</v>
      </c>
      <c r="E1" s="2" t="s">
        <v>142</v>
      </c>
      <c r="F1" s="2" t="s">
        <v>27</v>
      </c>
    </row>
    <row r="2" spans="1:6">
      <c r="A2" t="s">
        <v>35</v>
      </c>
      <c r="B2" t="s">
        <v>143</v>
      </c>
      <c r="C2" t="s">
        <v>35</v>
      </c>
      <c r="D2" s="1" t="b">
        <v>1</v>
      </c>
      <c r="E2" s="1" t="b">
        <v>1</v>
      </c>
    </row>
    <row r="3" spans="1:6">
      <c r="A3" t="s">
        <v>135</v>
      </c>
      <c r="B3" t="s">
        <v>135</v>
      </c>
      <c r="C3" t="s">
        <v>135</v>
      </c>
      <c r="D3" s="1" t="b">
        <v>1</v>
      </c>
      <c r="E3" s="1" t="b">
        <v>1</v>
      </c>
    </row>
    <row r="4" spans="1:6">
      <c r="A4" t="s">
        <v>138</v>
      </c>
      <c r="B4" t="s">
        <v>144</v>
      </c>
      <c r="C4" t="s">
        <v>145</v>
      </c>
      <c r="D4" s="1" t="b">
        <v>1</v>
      </c>
      <c r="E4" s="1" t="b">
        <v>0</v>
      </c>
      <c r="F4" t="s">
        <v>146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147</v>
      </c>
      <c r="B1" s="2" t="s">
        <v>148</v>
      </c>
      <c r="C1" s="2" t="s">
        <v>149</v>
      </c>
      <c r="D1" s="2" t="s">
        <v>150</v>
      </c>
    </row>
    <row r="2" spans="1:4">
      <c r="A2" t="s">
        <v>151</v>
      </c>
      <c r="B2" t="s">
        <v>152</v>
      </c>
      <c r="D2" t="s">
        <v>153</v>
      </c>
    </row>
    <row r="3" spans="1:4">
      <c r="A3" t="s">
        <v>154</v>
      </c>
      <c r="B3" s="5">
        <v>0.02</v>
      </c>
      <c r="C3" t="s">
        <v>155</v>
      </c>
      <c r="D3" t="s">
        <v>156</v>
      </c>
    </row>
    <row r="4" spans="1:4">
      <c r="A4" t="s">
        <v>157</v>
      </c>
      <c r="B4" s="5">
        <v>0.14000000000000001</v>
      </c>
      <c r="C4" t="s">
        <v>155</v>
      </c>
      <c r="D4" t="s">
        <v>158</v>
      </c>
    </row>
    <row r="5" spans="1:4">
      <c r="A5" t="s">
        <v>159</v>
      </c>
      <c r="B5" s="5">
        <v>0.25</v>
      </c>
      <c r="C5" t="s">
        <v>155</v>
      </c>
      <c r="D5" t="s">
        <v>160</v>
      </c>
    </row>
    <row r="6" spans="1:4">
      <c r="A6" t="s">
        <v>161</v>
      </c>
      <c r="B6" s="5">
        <v>0.25</v>
      </c>
      <c r="C6" t="s">
        <v>155</v>
      </c>
      <c r="D6" t="s">
        <v>160</v>
      </c>
    </row>
    <row r="7" spans="1:4">
      <c r="A7" t="s">
        <v>162</v>
      </c>
      <c r="B7" s="5">
        <v>0.2</v>
      </c>
      <c r="C7" t="s">
        <v>155</v>
      </c>
      <c r="D7" t="s">
        <v>160</v>
      </c>
    </row>
    <row r="8" spans="1:4">
      <c r="A8" t="s">
        <v>163</v>
      </c>
      <c r="B8" s="5">
        <v>0.2</v>
      </c>
      <c r="C8" t="s">
        <v>155</v>
      </c>
      <c r="D8" t="s">
        <v>160</v>
      </c>
    </row>
    <row r="9" spans="1:4">
      <c r="A9" t="s">
        <v>164</v>
      </c>
      <c r="B9" s="5">
        <v>0.1</v>
      </c>
      <c r="C9" t="s">
        <v>155</v>
      </c>
      <c r="D9" t="s">
        <v>160</v>
      </c>
    </row>
    <row r="10" spans="1:4">
      <c r="A10" t="s">
        <v>165</v>
      </c>
      <c r="B10" t="s">
        <v>166</v>
      </c>
      <c r="D10" t="s">
        <v>167</v>
      </c>
    </row>
    <row r="11" spans="1:4">
      <c r="A11" t="s">
        <v>168</v>
      </c>
      <c r="B11">
        <v>5</v>
      </c>
      <c r="C11" t="s">
        <v>169</v>
      </c>
      <c r="D11" t="s">
        <v>170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171</v>
      </c>
      <c r="D1" s="2" t="s">
        <v>172</v>
      </c>
      <c r="E1" s="2" t="s">
        <v>173</v>
      </c>
      <c r="F1" s="2" t="s">
        <v>174</v>
      </c>
      <c r="G1" s="2" t="s">
        <v>175</v>
      </c>
    </row>
    <row r="2" spans="1:7">
      <c r="A2" t="s">
        <v>42</v>
      </c>
      <c r="B2" s="3">
        <v>1</v>
      </c>
      <c r="D2" t="s">
        <v>176</v>
      </c>
      <c r="E2">
        <v>1</v>
      </c>
      <c r="F2" s="1" t="b">
        <v>0</v>
      </c>
      <c r="G2" t="s">
        <v>177</v>
      </c>
    </row>
    <row r="3" spans="1:7">
      <c r="A3" t="s">
        <v>48</v>
      </c>
      <c r="B3" s="3"/>
      <c r="D3" t="s">
        <v>178</v>
      </c>
      <c r="F3" s="1" t="b">
        <v>0</v>
      </c>
      <c r="G3" t="s">
        <v>179</v>
      </c>
    </row>
    <row r="4" spans="1:7">
      <c r="A4" t="s">
        <v>57</v>
      </c>
      <c r="B4" s="3"/>
      <c r="D4" t="s">
        <v>178</v>
      </c>
      <c r="F4" s="1" t="b">
        <v>0</v>
      </c>
      <c r="G4" t="s">
        <v>179</v>
      </c>
    </row>
    <row r="5" spans="1:7">
      <c r="A5" t="s">
        <v>33</v>
      </c>
      <c r="B5" s="3"/>
      <c r="D5" t="s">
        <v>178</v>
      </c>
      <c r="F5" s="1" t="b">
        <v>0</v>
      </c>
      <c r="G5" t="s">
        <v>179</v>
      </c>
    </row>
    <row r="6" spans="1:7">
      <c r="A6" t="s">
        <v>180</v>
      </c>
      <c r="B6" s="3"/>
      <c r="D6" t="s">
        <v>178</v>
      </c>
      <c r="F6" s="1" t="b">
        <v>0</v>
      </c>
      <c r="G6" t="s">
        <v>179</v>
      </c>
    </row>
    <row r="7" spans="1:7">
      <c r="A7" t="s">
        <v>181</v>
      </c>
      <c r="B7" s="3"/>
      <c r="D7" t="s">
        <v>178</v>
      </c>
      <c r="F7" s="1" t="b">
        <v>0</v>
      </c>
      <c r="G7" t="s">
        <v>179</v>
      </c>
    </row>
    <row r="8" spans="1:7">
      <c r="A8" t="s">
        <v>182</v>
      </c>
      <c r="B8" s="3"/>
      <c r="D8" t="s">
        <v>178</v>
      </c>
      <c r="F8" s="1" t="b">
        <v>0</v>
      </c>
      <c r="G8" t="s">
        <v>179</v>
      </c>
    </row>
    <row r="9" spans="1:7">
      <c r="A9" t="s">
        <v>183</v>
      </c>
      <c r="B9" s="3"/>
      <c r="D9" t="s">
        <v>178</v>
      </c>
      <c r="F9" s="1" t="b">
        <v>0</v>
      </c>
      <c r="G9" t="s">
        <v>179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workbookViewId="0">
      <selection activeCell="A29" sqref="A29:XFD29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184</v>
      </c>
      <c r="D1" s="2" t="s">
        <v>8</v>
      </c>
      <c r="E1" s="2" t="s">
        <v>185</v>
      </c>
      <c r="F1" s="2" t="s">
        <v>186</v>
      </c>
    </row>
    <row r="2" spans="1:6">
      <c r="A2" t="s">
        <v>31</v>
      </c>
      <c r="B2" t="s">
        <v>32</v>
      </c>
      <c r="C2" t="s">
        <v>187</v>
      </c>
      <c r="D2" t="s">
        <v>33</v>
      </c>
      <c r="E2" t="s">
        <v>188</v>
      </c>
      <c r="F2" t="s">
        <v>177</v>
      </c>
    </row>
    <row r="3" spans="1:6">
      <c r="A3" t="s">
        <v>40</v>
      </c>
      <c r="B3" t="s">
        <v>41</v>
      </c>
      <c r="C3" t="s">
        <v>189</v>
      </c>
      <c r="D3" t="s">
        <v>42</v>
      </c>
      <c r="E3" t="s">
        <v>188</v>
      </c>
      <c r="F3" t="s">
        <v>177</v>
      </c>
    </row>
    <row r="4" spans="1:6">
      <c r="A4" t="s">
        <v>46</v>
      </c>
      <c r="B4" t="s">
        <v>47</v>
      </c>
      <c r="C4" t="s">
        <v>190</v>
      </c>
      <c r="D4" t="s">
        <v>48</v>
      </c>
      <c r="E4" t="s">
        <v>188</v>
      </c>
      <c r="F4" t="s">
        <v>177</v>
      </c>
    </row>
    <row r="5" spans="1:6">
      <c r="A5" t="s">
        <v>212</v>
      </c>
      <c r="B5" t="s">
        <v>210</v>
      </c>
      <c r="C5" t="s">
        <v>192</v>
      </c>
      <c r="D5" t="s">
        <v>57</v>
      </c>
      <c r="E5" t="s">
        <v>188</v>
      </c>
      <c r="F5" t="s">
        <v>177</v>
      </c>
    </row>
    <row r="6" spans="1:6">
      <c r="A6" t="s">
        <v>52</v>
      </c>
      <c r="B6" t="s">
        <v>53</v>
      </c>
      <c r="C6" t="s">
        <v>189</v>
      </c>
      <c r="D6" t="s">
        <v>42</v>
      </c>
      <c r="E6" t="s">
        <v>188</v>
      </c>
      <c r="F6" t="s">
        <v>177</v>
      </c>
    </row>
    <row r="7" spans="1:6">
      <c r="A7" t="s">
        <v>56</v>
      </c>
      <c r="B7" t="s">
        <v>56</v>
      </c>
      <c r="D7" t="s">
        <v>57</v>
      </c>
      <c r="E7" t="s">
        <v>188</v>
      </c>
      <c r="F7" t="s">
        <v>177</v>
      </c>
    </row>
    <row r="8" spans="1:6">
      <c r="A8" t="s">
        <v>61</v>
      </c>
      <c r="B8" t="s">
        <v>62</v>
      </c>
      <c r="C8" t="s">
        <v>191</v>
      </c>
      <c r="D8" t="s">
        <v>48</v>
      </c>
      <c r="E8" t="s">
        <v>188</v>
      </c>
      <c r="F8" t="s">
        <v>177</v>
      </c>
    </row>
    <row r="9" spans="1:6">
      <c r="A9" t="s">
        <v>65</v>
      </c>
      <c r="B9" t="s">
        <v>65</v>
      </c>
      <c r="D9" t="s">
        <v>42</v>
      </c>
      <c r="E9" t="s">
        <v>188</v>
      </c>
      <c r="F9" t="s">
        <v>177</v>
      </c>
    </row>
    <row r="10" spans="1:6">
      <c r="A10" t="s">
        <v>68</v>
      </c>
      <c r="B10" t="s">
        <v>68</v>
      </c>
      <c r="D10" t="s">
        <v>42</v>
      </c>
      <c r="E10" t="s">
        <v>188</v>
      </c>
      <c r="F10" t="s">
        <v>177</v>
      </c>
    </row>
    <row r="11" spans="1:6">
      <c r="A11" t="s">
        <v>72</v>
      </c>
      <c r="B11" t="s">
        <v>73</v>
      </c>
      <c r="C11" t="s">
        <v>189</v>
      </c>
      <c r="D11" t="s">
        <v>42</v>
      </c>
      <c r="E11" t="s">
        <v>188</v>
      </c>
      <c r="F11" t="s">
        <v>177</v>
      </c>
    </row>
    <row r="12" spans="1:6">
      <c r="A12" t="s">
        <v>205</v>
      </c>
      <c r="B12" t="s">
        <v>204</v>
      </c>
      <c r="C12" t="s">
        <v>191</v>
      </c>
      <c r="D12" t="s">
        <v>48</v>
      </c>
      <c r="E12" t="s">
        <v>188</v>
      </c>
      <c r="F12" t="s">
        <v>177</v>
      </c>
    </row>
    <row r="13" spans="1:6">
      <c r="A13" t="s">
        <v>77</v>
      </c>
      <c r="B13" t="s">
        <v>78</v>
      </c>
      <c r="C13" t="s">
        <v>191</v>
      </c>
      <c r="D13" t="s">
        <v>48</v>
      </c>
      <c r="E13" t="s">
        <v>188</v>
      </c>
      <c r="F13" t="s">
        <v>177</v>
      </c>
    </row>
    <row r="14" spans="1:6">
      <c r="A14" t="s">
        <v>81</v>
      </c>
      <c r="B14" t="s">
        <v>82</v>
      </c>
      <c r="C14" t="s">
        <v>192</v>
      </c>
      <c r="D14" t="s">
        <v>57</v>
      </c>
      <c r="E14" t="s">
        <v>188</v>
      </c>
      <c r="F14" t="s">
        <v>177</v>
      </c>
    </row>
    <row r="15" spans="1:6">
      <c r="A15" t="s">
        <v>84</v>
      </c>
      <c r="B15" t="s">
        <v>85</v>
      </c>
      <c r="C15" t="s">
        <v>191</v>
      </c>
      <c r="D15" t="s">
        <v>48</v>
      </c>
      <c r="E15" t="s">
        <v>188</v>
      </c>
      <c r="F15" t="s">
        <v>177</v>
      </c>
    </row>
    <row r="16" spans="1:6">
      <c r="A16" t="s">
        <v>88</v>
      </c>
      <c r="B16" t="s">
        <v>89</v>
      </c>
      <c r="C16" t="s">
        <v>189</v>
      </c>
      <c r="D16" t="s">
        <v>42</v>
      </c>
      <c r="E16" t="s">
        <v>188</v>
      </c>
      <c r="F16" t="s">
        <v>177</v>
      </c>
    </row>
    <row r="17" spans="1:6">
      <c r="A17" t="s">
        <v>206</v>
      </c>
      <c r="B17" t="s">
        <v>206</v>
      </c>
      <c r="C17" t="s">
        <v>191</v>
      </c>
      <c r="D17" t="s">
        <v>48</v>
      </c>
      <c r="E17" t="s">
        <v>188</v>
      </c>
      <c r="F17" t="s">
        <v>177</v>
      </c>
    </row>
    <row r="18" spans="1:6">
      <c r="A18" t="s">
        <v>98</v>
      </c>
      <c r="B18" t="s">
        <v>98</v>
      </c>
      <c r="D18" t="s">
        <v>48</v>
      </c>
      <c r="E18" t="s">
        <v>188</v>
      </c>
      <c r="F18" t="s">
        <v>177</v>
      </c>
    </row>
    <row r="19" spans="1:6">
      <c r="A19" t="s">
        <v>201</v>
      </c>
      <c r="B19" t="s">
        <v>202</v>
      </c>
      <c r="D19" t="s">
        <v>48</v>
      </c>
      <c r="E19" t="s">
        <v>188</v>
      </c>
      <c r="F19" t="s">
        <v>177</v>
      </c>
    </row>
    <row r="20" spans="1:6">
      <c r="A20" t="s">
        <v>104</v>
      </c>
      <c r="B20" t="s">
        <v>104</v>
      </c>
      <c r="D20" t="s">
        <v>48</v>
      </c>
      <c r="E20" t="s">
        <v>188</v>
      </c>
      <c r="F20" t="s">
        <v>177</v>
      </c>
    </row>
    <row r="21" spans="1:6">
      <c r="A21" t="s">
        <v>101</v>
      </c>
      <c r="B21" t="s">
        <v>101</v>
      </c>
      <c r="D21" t="s">
        <v>48</v>
      </c>
      <c r="E21" t="s">
        <v>188</v>
      </c>
      <c r="F21" t="s">
        <v>177</v>
      </c>
    </row>
    <row r="22" spans="1:6">
      <c r="A22" t="s">
        <v>107</v>
      </c>
      <c r="B22" t="s">
        <v>107</v>
      </c>
      <c r="D22" t="s">
        <v>48</v>
      </c>
      <c r="E22" t="s">
        <v>188</v>
      </c>
      <c r="F22" t="s">
        <v>177</v>
      </c>
    </row>
    <row r="23" spans="1:6">
      <c r="A23" t="s">
        <v>111</v>
      </c>
      <c r="B23" t="s">
        <v>111</v>
      </c>
      <c r="D23" t="s">
        <v>48</v>
      </c>
      <c r="E23" t="s">
        <v>188</v>
      </c>
      <c r="F23" t="s">
        <v>177</v>
      </c>
    </row>
    <row r="24" spans="1:6">
      <c r="A24" t="s">
        <v>115</v>
      </c>
      <c r="B24" t="s">
        <v>115</v>
      </c>
      <c r="D24" t="s">
        <v>48</v>
      </c>
      <c r="E24" t="s">
        <v>188</v>
      </c>
      <c r="F24" t="s">
        <v>177</v>
      </c>
    </row>
    <row r="25" spans="1:6">
      <c r="A25" t="s">
        <v>119</v>
      </c>
      <c r="B25" t="s">
        <v>119</v>
      </c>
      <c r="D25" t="s">
        <v>48</v>
      </c>
      <c r="E25" t="s">
        <v>188</v>
      </c>
      <c r="F25" t="s">
        <v>177</v>
      </c>
    </row>
    <row r="26" spans="1:6">
      <c r="A26" t="s">
        <v>122</v>
      </c>
      <c r="B26" t="s">
        <v>122</v>
      </c>
      <c r="D26" t="s">
        <v>48</v>
      </c>
      <c r="E26" t="s">
        <v>188</v>
      </c>
      <c r="F26" t="s">
        <v>177</v>
      </c>
    </row>
    <row r="27" spans="1:6">
      <c r="A27" t="s">
        <v>125</v>
      </c>
      <c r="B27" t="s">
        <v>125</v>
      </c>
      <c r="D27" t="s">
        <v>48</v>
      </c>
      <c r="E27" t="s">
        <v>188</v>
      </c>
      <c r="F27" t="s">
        <v>177</v>
      </c>
    </row>
    <row r="28" spans="1:6">
      <c r="A28" t="s">
        <v>128</v>
      </c>
      <c r="B28" t="s">
        <v>128</v>
      </c>
      <c r="D28" t="s">
        <v>48</v>
      </c>
      <c r="E28" t="s">
        <v>188</v>
      </c>
      <c r="F28" t="s">
        <v>177</v>
      </c>
    </row>
    <row r="29" spans="1:6">
      <c r="A29" t="s">
        <v>133</v>
      </c>
      <c r="B29" t="s">
        <v>133</v>
      </c>
      <c r="D29" t="s">
        <v>48</v>
      </c>
      <c r="E29" t="s">
        <v>188</v>
      </c>
      <c r="F29" t="s">
        <v>177</v>
      </c>
    </row>
    <row r="30" spans="1:6">
      <c r="A30" t="s">
        <v>215</v>
      </c>
      <c r="B30" t="s">
        <v>215</v>
      </c>
      <c r="D30" t="s">
        <v>48</v>
      </c>
      <c r="E30" t="s">
        <v>188</v>
      </c>
      <c r="F30" t="s">
        <v>177</v>
      </c>
    </row>
    <row r="31" spans="1:6">
      <c r="A31" t="s">
        <v>137</v>
      </c>
      <c r="B31" t="s">
        <v>137</v>
      </c>
      <c r="D31" t="s">
        <v>42</v>
      </c>
      <c r="E31" t="s">
        <v>188</v>
      </c>
      <c r="F31" t="s">
        <v>177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F15" sqref="F15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193</v>
      </c>
      <c r="G1" s="2" t="s">
        <v>194</v>
      </c>
      <c r="H1" s="2" t="s">
        <v>195</v>
      </c>
      <c r="I1" s="2" t="s">
        <v>196</v>
      </c>
      <c r="J1" s="2" t="s">
        <v>27</v>
      </c>
    </row>
    <row r="2" spans="1:10">
      <c r="A2" t="s">
        <v>207</v>
      </c>
      <c r="B2" t="s">
        <v>208</v>
      </c>
      <c r="C2" t="s">
        <v>209</v>
      </c>
      <c r="D2" t="s">
        <v>48</v>
      </c>
      <c r="E2" t="s">
        <v>49</v>
      </c>
      <c r="I2">
        <v>94</v>
      </c>
      <c r="J2" t="s">
        <v>211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tabSelected="1"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197</v>
      </c>
      <c r="D1" s="2" t="s">
        <v>198</v>
      </c>
      <c r="E1" s="2" t="s">
        <v>199</v>
      </c>
      <c r="F1" s="2" t="s">
        <v>141</v>
      </c>
      <c r="G1" s="2" t="s">
        <v>142</v>
      </c>
    </row>
    <row r="2" spans="1:7">
      <c r="A2" t="s">
        <v>35</v>
      </c>
      <c r="B2" t="s">
        <v>42</v>
      </c>
      <c r="C2" s="4">
        <v>138602</v>
      </c>
      <c r="D2" s="4">
        <v>1</v>
      </c>
      <c r="E2" s="4">
        <f>C2*D2</f>
        <v>138602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2026-10-27T08:49:22Z</dcterms:modified>
</cp:coreProperties>
</file>