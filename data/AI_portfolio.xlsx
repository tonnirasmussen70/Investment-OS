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ra\Documents\Investering\Data\"/>
    </mc:Choice>
  </mc:AlternateContent>
  <xr:revisionPtr revIDLastSave="0" documentId="13_ncr:1_{6399DF8C-2FAA-40A5-9B5D-77809B45B831}" xr6:coauthVersionLast="47" xr6:coauthVersionMax="47" xr10:uidLastSave="{00000000-0000-0000-0000-000000000000}"/>
  <bookViews>
    <workbookView xWindow="57480" yWindow="1620" windowWidth="29040" windowHeight="15720" activeTab="6" xr2:uid="{00000000-000D-0000-FFFF-FFFF00000000}"/>
  </bookViews>
  <sheets>
    <sheet name="Portfolio" sheetId="1" r:id="rId1"/>
    <sheet name="Accounts" sheetId="2" r:id="rId2"/>
    <sheet name="Settings" sheetId="3" r:id="rId3"/>
    <sheet name="FX" sheetId="4" r:id="rId4"/>
    <sheet name="Ticker_Map" sheetId="5" r:id="rId5"/>
    <sheet name="Watchlist" sheetId="6" r:id="rId6"/>
    <sheet name="Cash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M29" i="1"/>
  <c r="O29" i="1"/>
  <c r="G30" i="1"/>
  <c r="R6" i="1" l="1"/>
  <c r="Q6" i="1"/>
  <c r="P6" i="1"/>
  <c r="O6" i="1"/>
  <c r="M15" i="1"/>
  <c r="O19" i="1"/>
  <c r="O2" i="1"/>
  <c r="E2" i="7"/>
  <c r="O30" i="1"/>
  <c r="M30" i="1"/>
  <c r="L30" i="1"/>
  <c r="P30" i="1" s="1"/>
  <c r="O28" i="1"/>
  <c r="M28" i="1"/>
  <c r="L28" i="1"/>
  <c r="N28" i="1" s="1"/>
  <c r="O27" i="1"/>
  <c r="M27" i="1"/>
  <c r="L27" i="1"/>
  <c r="P27" i="1" s="1"/>
  <c r="O26" i="1"/>
  <c r="M26" i="1"/>
  <c r="L26" i="1"/>
  <c r="P26" i="1" s="1"/>
  <c r="O25" i="1"/>
  <c r="M25" i="1"/>
  <c r="L25" i="1"/>
  <c r="P25" i="1" s="1"/>
  <c r="O24" i="1"/>
  <c r="M24" i="1"/>
  <c r="L24" i="1"/>
  <c r="P24" i="1" s="1"/>
  <c r="O23" i="1"/>
  <c r="M23" i="1"/>
  <c r="L23" i="1"/>
  <c r="P23" i="1" s="1"/>
  <c r="O22" i="1"/>
  <c r="M22" i="1"/>
  <c r="L22" i="1"/>
  <c r="P22" i="1" s="1"/>
  <c r="O21" i="1"/>
  <c r="M21" i="1"/>
  <c r="L21" i="1"/>
  <c r="N21" i="1" s="1"/>
  <c r="O20" i="1"/>
  <c r="M20" i="1"/>
  <c r="L20" i="1"/>
  <c r="P20" i="1" s="1"/>
  <c r="O18" i="1"/>
  <c r="M18" i="1"/>
  <c r="L18" i="1"/>
  <c r="P18" i="1" s="1"/>
  <c r="O17" i="1"/>
  <c r="M17" i="1"/>
  <c r="L17" i="1"/>
  <c r="P17" i="1" s="1"/>
  <c r="O16" i="1"/>
  <c r="M16" i="1"/>
  <c r="L16" i="1"/>
  <c r="N16" i="1" s="1"/>
  <c r="O15" i="1"/>
  <c r="L15" i="1"/>
  <c r="N15" i="1" s="1"/>
  <c r="O14" i="1"/>
  <c r="M14" i="1"/>
  <c r="L14" i="1"/>
  <c r="N14" i="1" s="1"/>
  <c r="O13" i="1"/>
  <c r="M13" i="1"/>
  <c r="L13" i="1"/>
  <c r="P13" i="1" s="1"/>
  <c r="O12" i="1"/>
  <c r="M12" i="1"/>
  <c r="L12" i="1"/>
  <c r="P12" i="1" s="1"/>
  <c r="O11" i="1"/>
  <c r="M11" i="1"/>
  <c r="L11" i="1"/>
  <c r="P11" i="1" s="1"/>
  <c r="O10" i="1"/>
  <c r="M10" i="1"/>
  <c r="L10" i="1"/>
  <c r="N10" i="1" s="1"/>
  <c r="O9" i="1"/>
  <c r="M9" i="1"/>
  <c r="L9" i="1"/>
  <c r="N9" i="1" s="1"/>
  <c r="O8" i="1"/>
  <c r="M8" i="1"/>
  <c r="L8" i="1"/>
  <c r="P8" i="1" s="1"/>
  <c r="O7" i="1"/>
  <c r="M7" i="1"/>
  <c r="L7" i="1"/>
  <c r="N7" i="1" s="1"/>
  <c r="O5" i="1"/>
  <c r="M5" i="1"/>
  <c r="L5" i="1"/>
  <c r="N5" i="1" s="1"/>
  <c r="O3" i="1"/>
  <c r="M3" i="1"/>
  <c r="L3" i="1"/>
  <c r="P3" i="1" s="1"/>
  <c r="M2" i="1"/>
  <c r="L2" i="1"/>
  <c r="P2" i="1" s="1"/>
  <c r="N30" i="1" l="1"/>
  <c r="N11" i="1"/>
  <c r="R11" i="1" s="1"/>
  <c r="N3" i="1"/>
  <c r="R3" i="1" s="1"/>
  <c r="P10" i="1"/>
  <c r="N12" i="1"/>
  <c r="R12" i="1" s="1"/>
  <c r="P15" i="1"/>
  <c r="N2" i="1"/>
  <c r="N20" i="1"/>
  <c r="R20" i="1" s="1"/>
  <c r="P9" i="1"/>
  <c r="P16" i="1"/>
  <c r="N17" i="1"/>
  <c r="R17" i="1" s="1"/>
  <c r="R28" i="1"/>
  <c r="Q28" i="1"/>
  <c r="R9" i="1"/>
  <c r="Q9" i="1"/>
  <c r="R10" i="1"/>
  <c r="Q10" i="1"/>
  <c r="R15" i="1"/>
  <c r="Q15" i="1"/>
  <c r="R16" i="1"/>
  <c r="Q16" i="1"/>
  <c r="R5" i="1"/>
  <c r="Q5" i="1"/>
  <c r="R14" i="1"/>
  <c r="Q14" i="1"/>
  <c r="R21" i="1"/>
  <c r="Q21" i="1"/>
  <c r="R7" i="1"/>
  <c r="Q7" i="1"/>
  <c r="P7" i="1"/>
  <c r="P14" i="1"/>
  <c r="P21" i="1"/>
  <c r="N22" i="1"/>
  <c r="P28" i="1"/>
  <c r="N24" i="1"/>
  <c r="N26" i="1"/>
  <c r="N13" i="1"/>
  <c r="P5" i="1"/>
  <c r="N8" i="1"/>
  <c r="N23" i="1"/>
  <c r="N18" i="1"/>
  <c r="N25" i="1"/>
  <c r="N27" i="1"/>
  <c r="S29" i="1" l="1"/>
  <c r="Q3" i="1"/>
  <c r="Q12" i="1"/>
  <c r="S6" i="1"/>
  <c r="Q11" i="1"/>
  <c r="R2" i="1"/>
  <c r="S16" i="1"/>
  <c r="S10" i="1"/>
  <c r="Q20" i="1"/>
  <c r="Q2" i="1"/>
  <c r="S30" i="1"/>
  <c r="Q17" i="1"/>
  <c r="S15" i="1"/>
  <c r="S3" i="1"/>
  <c r="R30" i="1"/>
  <c r="Q30" i="1"/>
  <c r="S17" i="1"/>
  <c r="S26" i="1"/>
  <c r="R26" i="1"/>
  <c r="Q26" i="1"/>
  <c r="S12" i="1"/>
  <c r="R8" i="1"/>
  <c r="S8" i="1"/>
  <c r="Q8" i="1"/>
  <c r="S9" i="1"/>
  <c r="S20" i="1"/>
  <c r="S14" i="1"/>
  <c r="S24" i="1"/>
  <c r="R24" i="1"/>
  <c r="Q24" i="1"/>
  <c r="S21" i="1"/>
  <c r="S27" i="1"/>
  <c r="R27" i="1"/>
  <c r="Q27" i="1"/>
  <c r="S28" i="1"/>
  <c r="S22" i="1"/>
  <c r="R22" i="1"/>
  <c r="Q22" i="1"/>
  <c r="R25" i="1"/>
  <c r="Q25" i="1"/>
  <c r="S25" i="1"/>
  <c r="S13" i="1"/>
  <c r="R13" i="1"/>
  <c r="Q13" i="1"/>
  <c r="Q18" i="1"/>
  <c r="S18" i="1"/>
  <c r="R18" i="1"/>
  <c r="S11" i="1"/>
  <c r="S5" i="1"/>
  <c r="S23" i="1"/>
  <c r="R23" i="1"/>
  <c r="Q23" i="1"/>
  <c r="S7" i="1"/>
  <c r="S2" i="1"/>
</calcChain>
</file>

<file path=xl/sharedStrings.xml><?xml version="1.0" encoding="utf-8"?>
<sst xmlns="http://schemas.openxmlformats.org/spreadsheetml/2006/main" count="600" uniqueCount="220">
  <si>
    <t>Asset_ID</t>
  </si>
  <si>
    <t>Asset_Type</t>
  </si>
  <si>
    <t>Name</t>
  </si>
  <si>
    <t>Ticker</t>
  </si>
  <si>
    <t>Yahoo_Ticker</t>
  </si>
  <si>
    <t>ISIN</t>
  </si>
  <si>
    <t>Quantity</t>
  </si>
  <si>
    <t>Purchase_Price</t>
  </si>
  <si>
    <t>Currency</t>
  </si>
  <si>
    <t>Purchase_FX_to_DKK</t>
  </si>
  <si>
    <t>Current_Price</t>
  </si>
  <si>
    <t>Current_FX_to_DKK</t>
  </si>
  <si>
    <t>Cost_Value_DKK</t>
  </si>
  <si>
    <t>Market_Value_DKK</t>
  </si>
  <si>
    <t>Local_Return_Pct</t>
  </si>
  <si>
    <t>FX_Return_Pct</t>
  </si>
  <si>
    <t>Return_DKK</t>
  </si>
  <si>
    <t>Return_Pct</t>
  </si>
  <si>
    <t>Portfolio_Weight</t>
  </si>
  <si>
    <t>Sector</t>
  </si>
  <si>
    <t>Account</t>
  </si>
  <si>
    <t>Include_Analytics</t>
  </si>
  <si>
    <t>Include_Weight</t>
  </si>
  <si>
    <t>Price_Source</t>
  </si>
  <si>
    <t>FX_Source</t>
  </si>
  <si>
    <t>Last_Updated</t>
  </si>
  <si>
    <t>Data_Quality_Flag</t>
  </si>
  <si>
    <t>Notes</t>
  </si>
  <si>
    <t>A001</t>
  </si>
  <si>
    <t>Stock</t>
  </si>
  <si>
    <t>ABB Ltd</t>
  </si>
  <si>
    <t>ABB:XSTO</t>
  </si>
  <si>
    <t>ABB.ST</t>
  </si>
  <si>
    <t>SEK</t>
  </si>
  <si>
    <t>Infrastruktur</t>
  </si>
  <si>
    <t>ASK</t>
  </si>
  <si>
    <t>Manual/Market data</t>
  </si>
  <si>
    <t>FX sheet</t>
  </si>
  <si>
    <t>A002</t>
  </si>
  <si>
    <t>AL Sydbank A/S</t>
  </si>
  <si>
    <t>ALSYDB:XCSE</t>
  </si>
  <si>
    <t>ALSYDB.CO</t>
  </si>
  <si>
    <t>DKK</t>
  </si>
  <si>
    <t>Finans</t>
  </si>
  <si>
    <t>A003</t>
  </si>
  <si>
    <t>ASML Holding NV</t>
  </si>
  <si>
    <t>ASML:XAMS</t>
  </si>
  <si>
    <t>ASML.AS</t>
  </si>
  <si>
    <t>EUR</t>
  </si>
  <si>
    <t>Teknologi</t>
  </si>
  <si>
    <t>A004</t>
  </si>
  <si>
    <t>Danske Bank A/S</t>
  </si>
  <si>
    <t>DANSKE:XCSE</t>
  </si>
  <si>
    <t>DANSKE.CO</t>
  </si>
  <si>
    <t>A005</t>
  </si>
  <si>
    <t>Frontline PLC</t>
  </si>
  <si>
    <t>FRO</t>
  </si>
  <si>
    <t>USD</t>
  </si>
  <si>
    <t>Industri</t>
  </si>
  <si>
    <t>A006</t>
  </si>
  <si>
    <t>MICROSOFT CORPORATION</t>
  </si>
  <si>
    <t>MSF:XETR</t>
  </si>
  <si>
    <t>MSF.DE</t>
  </si>
  <si>
    <t>A007</t>
  </si>
  <si>
    <t>Nkt A/S</t>
  </si>
  <si>
    <t>NKT.CO</t>
  </si>
  <si>
    <t>A008</t>
  </si>
  <si>
    <t>Novo Nordisk A/S</t>
  </si>
  <si>
    <t>NOVO-B.CO</t>
  </si>
  <si>
    <t>Sundhed</t>
  </si>
  <si>
    <t>A009</t>
  </si>
  <si>
    <t>Pandora A/S</t>
  </si>
  <si>
    <t>PNDORA:XCSE</t>
  </si>
  <si>
    <t>PNDORA.CO</t>
  </si>
  <si>
    <t>Forbrug</t>
  </si>
  <si>
    <t>A010</t>
  </si>
  <si>
    <t>Siemens Energy AG</t>
  </si>
  <si>
    <t>ENR:XETR</t>
  </si>
  <si>
    <t>ENR.DE</t>
  </si>
  <si>
    <t>A011</t>
  </si>
  <si>
    <t>Taiwan Semiconductor Manufacturing Co. Ltd.</t>
  </si>
  <si>
    <t>TSM:XNYS</t>
  </si>
  <si>
    <t>TSM</t>
  </si>
  <si>
    <t>UNH:XETR</t>
  </si>
  <si>
    <t>UNH.DE</t>
  </si>
  <si>
    <t>A013</t>
  </si>
  <si>
    <t>Vestas Wind System</t>
  </si>
  <si>
    <t>VWS:XCSE</t>
  </si>
  <si>
    <t>VWS.CO</t>
  </si>
  <si>
    <t>Vedvarende energi</t>
  </si>
  <si>
    <t>A014</t>
  </si>
  <si>
    <t>ETF</t>
  </si>
  <si>
    <t>Global X Copper Miners UCITS ETF</t>
  </si>
  <si>
    <t>Materialer</t>
  </si>
  <si>
    <t>VERIFY_CURRENCY</t>
  </si>
  <si>
    <t>A015</t>
  </si>
  <si>
    <t>Global X U.S Infrastructure Development UCITS ETF</t>
  </si>
  <si>
    <t>94VE.DE</t>
  </si>
  <si>
    <t>A016</t>
  </si>
  <si>
    <t>Global X Uranium UCITS ETF</t>
  </si>
  <si>
    <t>URNU.DE</t>
  </si>
  <si>
    <t>A017</t>
  </si>
  <si>
    <t>iShs Global Clean Energy ETF</t>
  </si>
  <si>
    <t>IQQH.DE</t>
  </si>
  <si>
    <t>A018</t>
  </si>
  <si>
    <t>iShs MSCI Global Semiconductors UCITS ETF</t>
  </si>
  <si>
    <t>SEC0.DE</t>
  </si>
  <si>
    <t>A019</t>
  </si>
  <si>
    <t>A020</t>
  </si>
  <si>
    <t>iShares NASDAQ US Biotechnology UCITS ETF</t>
  </si>
  <si>
    <t>2B70.DE</t>
  </si>
  <si>
    <t>Bioteknologi</t>
  </si>
  <si>
    <t>A021</t>
  </si>
  <si>
    <t>VanEck Defense UCITS ETF</t>
  </si>
  <si>
    <t>DFEN.DE</t>
  </si>
  <si>
    <t>Forsvar</t>
  </si>
  <si>
    <t>A022</t>
  </si>
  <si>
    <t>VanEck Quantum Computing UCITS ETF</t>
  </si>
  <si>
    <t>QUTM.DE</t>
  </si>
  <si>
    <t>A023</t>
  </si>
  <si>
    <t>VanEck Rare Earth and Strategic Metals UCITS ETF</t>
  </si>
  <si>
    <t>VVMX.DE</t>
  </si>
  <si>
    <t>A024</t>
  </si>
  <si>
    <t>VanEck S&amp;P Global Mining UCITS ETF</t>
  </si>
  <si>
    <t>WMIN.DE</t>
  </si>
  <si>
    <t>A025</t>
  </si>
  <si>
    <t>VanEck Space Innovators UCITS ETF</t>
  </si>
  <si>
    <t>JEDI.DE</t>
  </si>
  <si>
    <t>Space</t>
  </si>
  <si>
    <t>A026</t>
  </si>
  <si>
    <t>A027</t>
  </si>
  <si>
    <t>Vanguard FTSE All-World UCITS Acc ETF</t>
  </si>
  <si>
    <t>VWCE.DE</t>
  </si>
  <si>
    <t>World</t>
  </si>
  <si>
    <t>Pension</t>
  </si>
  <si>
    <t>A028</t>
  </si>
  <si>
    <t>Grundfos</t>
  </si>
  <si>
    <t>Depot</t>
  </si>
  <si>
    <t>Account_Type</t>
  </si>
  <si>
    <t>Tax_Type</t>
  </si>
  <si>
    <t>Include_Total</t>
  </si>
  <si>
    <t>Include_Active_Portfolio</t>
  </si>
  <si>
    <t>Investering</t>
  </si>
  <si>
    <t>Unoteret/Depot</t>
  </si>
  <si>
    <t>Aktie</t>
  </si>
  <si>
    <t>Grundfos er uden for aktiv vægt</t>
  </si>
  <si>
    <t>Setting</t>
  </si>
  <si>
    <t>Value</t>
  </si>
  <si>
    <t>Unit</t>
  </si>
  <si>
    <t>Description</t>
  </si>
  <si>
    <t>Benchmark</t>
  </si>
  <si>
    <t>URTH</t>
  </si>
  <si>
    <t>Fælles benchmark</t>
  </si>
  <si>
    <t>Risk_Free_Rate</t>
  </si>
  <si>
    <t>pct</t>
  </si>
  <si>
    <t>Til Sharpe/Sortino</t>
  </si>
  <si>
    <t>Max_Position_Weight</t>
  </si>
  <si>
    <t>Maksimal vægt pr. position</t>
  </si>
  <si>
    <t>Momentum_1W</t>
  </si>
  <si>
    <t>Momentumvægt</t>
  </si>
  <si>
    <t>Momentum_1M</t>
  </si>
  <si>
    <t>Momentum_3M</t>
  </si>
  <si>
    <t>Momentum_6M</t>
  </si>
  <si>
    <t>Momentum_12M</t>
  </si>
  <si>
    <t>Negative_Table_Text</t>
  </si>
  <si>
    <t>#FF4B4B</t>
  </si>
  <si>
    <t>Rød skrift for negative værdier</t>
  </si>
  <si>
    <t>Morning_Brief_Max_Actions</t>
  </si>
  <si>
    <t>count</t>
  </si>
  <si>
    <t>Maksimalt antal handlinger på overblik</t>
  </si>
  <si>
    <t>Rate_Date</t>
  </si>
  <si>
    <t>Source</t>
  </si>
  <si>
    <t>Manual_Fallback</t>
  </si>
  <si>
    <t>Use_Manual</t>
  </si>
  <si>
    <t>Data_Quality</t>
  </si>
  <si>
    <t>Fixed</t>
  </si>
  <si>
    <t>OK</t>
  </si>
  <si>
    <t>ECB/Yahoo</t>
  </si>
  <si>
    <t>MISSING</t>
  </si>
  <si>
    <t>NOK</t>
  </si>
  <si>
    <t>GBP</t>
  </si>
  <si>
    <t>CHF</t>
  </si>
  <si>
    <t>JPY</t>
  </si>
  <si>
    <t>Exchange</t>
  </si>
  <si>
    <t>Data_Source</t>
  </si>
  <si>
    <t>Verification_Status</t>
  </si>
  <si>
    <t>XSTO</t>
  </si>
  <si>
    <t>Yahoo Finance</t>
  </si>
  <si>
    <t>XCSE</t>
  </si>
  <si>
    <t>XAMS</t>
  </si>
  <si>
    <t>XETR</t>
  </si>
  <si>
    <t>XNYS</t>
  </si>
  <si>
    <t>Status</t>
  </si>
  <si>
    <t>Target_Buy</t>
  </si>
  <si>
    <t>Max_Price</t>
  </si>
  <si>
    <t>AI_Confidence</t>
  </si>
  <si>
    <t>Amount</t>
  </si>
  <si>
    <t>FX_to_DKK</t>
  </si>
  <si>
    <t>Amount_DKK</t>
  </si>
  <si>
    <t>iShares Edge MSCI World Quality Factor UCITS ETF</t>
  </si>
  <si>
    <t>IS3Q:XETR</t>
  </si>
  <si>
    <t>IS3Q.DE</t>
  </si>
  <si>
    <t>4S0.DE</t>
  </si>
  <si>
    <t>4S0:XETR</t>
  </si>
  <si>
    <t>4COP.DE</t>
  </si>
  <si>
    <t>Astera Labs</t>
  </si>
  <si>
    <t>ALAB</t>
  </si>
  <si>
    <t>64B.DE</t>
  </si>
  <si>
    <t>CLS</t>
  </si>
  <si>
    <t>Part of SEC0 0,49%</t>
  </si>
  <si>
    <t>CLS:XNYS</t>
  </si>
  <si>
    <t>Celestica Inc.</t>
  </si>
  <si>
    <t>Vanguard FTSE All-World High Dvd Yield UCITS ETF</t>
  </si>
  <si>
    <t>VGWD.DE</t>
  </si>
  <si>
    <t>A029</t>
  </si>
  <si>
    <t>A030</t>
  </si>
  <si>
    <t>Alphabet Inc. Class C</t>
  </si>
  <si>
    <t>GOOG:MIL</t>
  </si>
  <si>
    <t>GOOG</t>
  </si>
  <si>
    <t>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</si>
</sst>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-"/>
    <numFmt numFmtId="165" formatCode="#,##0.00;[Red]\(#,##0.00\);\-"/>
    <numFmt numFmtId="166" formatCode="0.0000;[Red]\(0.0000\);\-"/>
    <numFmt numFmtId="167" formatCode="#,##0\ &quot;kr&quot;;[Red]\(#,##0\ &quot;kr&quot;\);\-"/>
    <numFmt numFmtId="168" formatCode="0.0%;[Red]\(0.0%\);\-"/>
  </numFmts>
  <fonts count="6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008000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67" fontId="3" fillId="0" borderId="0" xfId="0" applyNumberFormat="1" applyFont="1"/>
    <xf numFmtId="168" fontId="3" fillId="0" borderId="0" xfId="0" applyNumberFormat="1" applyFont="1"/>
    <xf numFmtId="166" fontId="4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5">
    <dxf>
      <font>
        <b/>
        <color rgb="FFFF4B4B"/>
      </font>
    </dxf>
    <dxf>
      <font>
        <b/>
        <color rgb="FFFF4B4B"/>
      </font>
    </dxf>
    <dxf>
      <font>
        <b/>
        <color rgb="FFFF4B4B"/>
      </font>
    </dxf>
    <dxf>
      <font>
        <b/>
        <color rgb="FFFF4B4B"/>
      </font>
    </dxf>
    <dxf>
      <font>
        <b/>
        <color rgb="FFFF4B4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tfolioTable" displayName="PortfolioTable" ref="A1:AB30">
  <tableColumns count="28">
    <tableColumn id="1" xr3:uid="{00000000-0010-0000-0000-000001000000}" name="Asset_ID"/>
    <tableColumn id="2" xr3:uid="{00000000-0010-0000-0000-000002000000}" name="Asset_Type"/>
    <tableColumn id="3" xr3:uid="{00000000-0010-0000-0000-000003000000}" name="Name"/>
    <tableColumn id="4" xr3:uid="{00000000-0010-0000-0000-000004000000}" name="Ticker"/>
    <tableColumn id="5" xr3:uid="{00000000-0010-0000-0000-000005000000}" name="Yahoo_Ticker"/>
    <tableColumn id="6" xr3:uid="{00000000-0010-0000-0000-000006000000}" name="ISIN"/>
    <tableColumn id="7" xr3:uid="{00000000-0010-0000-0000-000007000000}" name="Quantity"/>
    <tableColumn id="8" xr3:uid="{00000000-0010-0000-0000-000008000000}" name="Purchase_Price"/>
    <tableColumn id="9" xr3:uid="{00000000-0010-0000-0000-000009000000}" name="Currency"/>
    <tableColumn id="10" xr3:uid="{00000000-0010-0000-0000-00000A000000}" name="Purchase_FX_to_DKK"/>
    <tableColumn id="11" xr3:uid="{00000000-0010-0000-0000-00000B000000}" name="Current_Price"/>
    <tableColumn id="12" xr3:uid="{00000000-0010-0000-0000-00000C000000}" name="Current_FX_to_DKK"/>
    <tableColumn id="13" xr3:uid="{00000000-0010-0000-0000-00000D000000}" name="Cost_Value_DKK"/>
    <tableColumn id="14" xr3:uid="{00000000-0010-0000-0000-00000E000000}" name="Market_Value_DKK"/>
    <tableColumn id="15" xr3:uid="{00000000-0010-0000-0000-00000F000000}" name="Local_Return_Pct"/>
    <tableColumn id="16" xr3:uid="{00000000-0010-0000-0000-000010000000}" name="FX_Return_Pct"/>
    <tableColumn id="17" xr3:uid="{00000000-0010-0000-0000-000011000000}" name="Return_DKK"/>
    <tableColumn id="18" xr3:uid="{00000000-0010-0000-0000-000012000000}" name="Return_Pct"/>
    <tableColumn id="19" xr3:uid="{00000000-0010-0000-0000-000013000000}" name="Portfolio_Weight"/>
    <tableColumn id="20" xr3:uid="{00000000-0010-0000-0000-000014000000}" name="Sector"/>
    <tableColumn id="21" xr3:uid="{00000000-0010-0000-0000-000015000000}" name="Account"/>
    <tableColumn id="22" xr3:uid="{00000000-0010-0000-0000-000016000000}" name="Include_Analytics"/>
    <tableColumn id="23" xr3:uid="{00000000-0010-0000-0000-000017000000}" name="Include_Weight"/>
    <tableColumn id="24" xr3:uid="{00000000-0010-0000-0000-000018000000}" name="Price_Source"/>
    <tableColumn id="25" xr3:uid="{00000000-0010-0000-0000-000019000000}" name="FX_Source"/>
    <tableColumn id="26" xr3:uid="{00000000-0010-0000-0000-00001A000000}" name="Last_Updated"/>
    <tableColumn id="27" xr3:uid="{00000000-0010-0000-0000-00001B000000}" name="Data_Quality_Flag"/>
    <tableColumn id="28" xr3:uid="{00000000-0010-0000-0000-00001C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ountsTable" displayName="AccountsTable" ref="A1:F4">
  <tableColumns count="6">
    <tableColumn id="1" xr3:uid="{00000000-0010-0000-0100-000001000000}" name="Account"/>
    <tableColumn id="2" xr3:uid="{00000000-0010-0000-0100-000002000000}" name="Account_Type"/>
    <tableColumn id="3" xr3:uid="{00000000-0010-0000-0100-000003000000}" name="Tax_Type"/>
    <tableColumn id="4" xr3:uid="{00000000-0010-0000-0100-000004000000}" name="Include_Total"/>
    <tableColumn id="5" xr3:uid="{00000000-0010-0000-0100-000005000000}" name="Include_Active_Portfolio"/>
    <tableColumn id="6" xr3:uid="{00000000-0010-0000-0100-000006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ttingsTable" displayName="SettingsTable" ref="A1:D11">
  <tableColumns count="4">
    <tableColumn id="1" xr3:uid="{00000000-0010-0000-0200-000001000000}" name="Setting"/>
    <tableColumn id="2" xr3:uid="{00000000-0010-0000-0200-000002000000}" name="Value"/>
    <tableColumn id="3" xr3:uid="{00000000-0010-0000-0200-000003000000}" name="Unit"/>
    <tableColumn id="4" xr3:uid="{00000000-0010-0000-0200-000004000000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XTable" displayName="FXTable" ref="A1:G9">
  <tableColumns count="7">
    <tableColumn id="1" xr3:uid="{00000000-0010-0000-0300-000001000000}" name="Currency"/>
    <tableColumn id="2" xr3:uid="{00000000-0010-0000-0300-000002000000}" name="Current_FX_to_DKK"/>
    <tableColumn id="3" xr3:uid="{00000000-0010-0000-0300-000003000000}" name="Rate_Date"/>
    <tableColumn id="4" xr3:uid="{00000000-0010-0000-0300-000004000000}" name="Source"/>
    <tableColumn id="5" xr3:uid="{00000000-0010-0000-0300-000005000000}" name="Manual_Fallback"/>
    <tableColumn id="6" xr3:uid="{00000000-0010-0000-0300-000006000000}" name="Use_Manual"/>
    <tableColumn id="7" xr3:uid="{00000000-0010-0000-0300-000007000000}" name="Data_Qual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ckerMapTable" displayName="TickerMapTable" ref="A1:F32">
  <tableColumns count="6">
    <tableColumn id="1" xr3:uid="{00000000-0010-0000-0400-000001000000}" name="Ticker"/>
    <tableColumn id="2" xr3:uid="{00000000-0010-0000-0400-000002000000}" name="Yahoo_Ticker"/>
    <tableColumn id="3" xr3:uid="{00000000-0010-0000-0400-000003000000}" name="Exchange"/>
    <tableColumn id="4" xr3:uid="{00000000-0010-0000-0400-000004000000}" name="Currency"/>
    <tableColumn id="5" xr3:uid="{00000000-0010-0000-0400-000005000000}" name="Data_Source"/>
    <tableColumn id="6" xr3:uid="{00000000-0010-0000-0400-000006000000}" name="Verification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atchlistTable" displayName="WatchlistTable" ref="A1:J2">
  <tableColumns count="10">
    <tableColumn id="1" xr3:uid="{00000000-0010-0000-0500-000001000000}" name="Name"/>
    <tableColumn id="2" xr3:uid="{00000000-0010-0000-0500-000002000000}" name="Ticker"/>
    <tableColumn id="3" xr3:uid="{00000000-0010-0000-0500-000003000000}" name="Yahoo_Ticker"/>
    <tableColumn id="4" xr3:uid="{00000000-0010-0000-0500-000004000000}" name="Currency"/>
    <tableColumn id="5" xr3:uid="{00000000-0010-0000-0500-000005000000}" name="Sector"/>
    <tableColumn id="6" xr3:uid="{00000000-0010-0000-0500-000006000000}" name="Status"/>
    <tableColumn id="7" xr3:uid="{00000000-0010-0000-0500-000007000000}" name="Target_Buy"/>
    <tableColumn id="8" xr3:uid="{00000000-0010-0000-0500-000008000000}" name="Max_Price"/>
    <tableColumn id="9" xr3:uid="{00000000-0010-0000-0500-000009000000}" name="AI_Confidence"/>
    <tableColumn id="10" xr3:uid="{00000000-0010-0000-0500-00000A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shTable" displayName="CashTable" ref="A1:G2">
  <tableColumns count="7">
    <tableColumn id="1" xr3:uid="{00000000-0010-0000-0600-000001000000}" name="Account"/>
    <tableColumn id="2" xr3:uid="{00000000-0010-0000-0600-000002000000}" name="Currency"/>
    <tableColumn id="3" xr3:uid="{00000000-0010-0000-0600-000003000000}" name="Amount"/>
    <tableColumn id="4" xr3:uid="{00000000-0010-0000-0600-000004000000}" name="FX_to_DKK"/>
    <tableColumn id="5" xr3:uid="{00000000-0010-0000-0600-000005000000}" name="Amount_DKK"/>
    <tableColumn id="6" xr3:uid="{00000000-0010-0000-0600-000006000000}" name="Include_Total"/>
    <tableColumn id="7" xr3:uid="{00000000-0010-0000-0600-000007000000}" name="Include_Active_Portfol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499984740745262"/>
  </sheetPr>
  <dimension ref="A1:AB30"/>
  <sheetViews>
    <sheetView zoomScale="80" zoomScaleNormal="80" workbookViewId="0">
      <selection activeCell="H15" sqref="H15"/>
    </sheetView>
  </sheetViews>
  <sheetFormatPr defaultRowHeight="14"/>
  <cols>
    <col min="1" max="1" width="9" bestFit="1" customWidth="1"/>
    <col min="2" max="2" width="11.5" bestFit="1" customWidth="1"/>
    <col min="3" max="3" width="50.25" customWidth="1"/>
    <col min="4" max="4" width="14.58203125" bestFit="1" customWidth="1"/>
    <col min="5" max="5" width="13.25" bestFit="1" customWidth="1"/>
    <col min="6" max="6" width="4.5" bestFit="1" customWidth="1"/>
    <col min="7" max="7" width="8.33203125" bestFit="1" customWidth="1"/>
    <col min="8" max="8" width="15.58203125" bestFit="1" customWidth="1"/>
    <col min="9" max="9" width="9.25" bestFit="1" customWidth="1"/>
    <col min="10" max="10" width="20.83203125" bestFit="1" customWidth="1"/>
    <col min="11" max="11" width="13.58203125" bestFit="1" customWidth="1"/>
    <col min="12" max="12" width="19" bestFit="1" customWidth="1"/>
    <col min="13" max="13" width="16.25" bestFit="1" customWidth="1"/>
    <col min="14" max="14" width="18.33203125" bestFit="1" customWidth="1"/>
    <col min="15" max="15" width="17.08203125" bestFit="1" customWidth="1"/>
    <col min="16" max="16" width="14.5" bestFit="1" customWidth="1"/>
    <col min="17" max="17" width="11.83203125" bestFit="1" customWidth="1"/>
    <col min="18" max="18" width="11.08203125" bestFit="1" customWidth="1"/>
    <col min="19" max="19" width="16.08203125" bestFit="1" customWidth="1"/>
    <col min="20" max="20" width="17.33203125" bestFit="1" customWidth="1"/>
    <col min="21" max="21" width="8.33203125" bestFit="1" customWidth="1"/>
    <col min="22" max="22" width="16.83203125" bestFit="1" customWidth="1"/>
    <col min="23" max="23" width="15" bestFit="1" customWidth="1"/>
    <col min="24" max="24" width="17.75" bestFit="1" customWidth="1"/>
    <col min="25" max="25" width="10.75" bestFit="1" customWidth="1"/>
    <col min="26" max="26" width="13.33203125" bestFit="1" customWidth="1"/>
    <col min="27" max="27" width="24.75" customWidth="1"/>
    <col min="28" max="28" width="6.25" bestFit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6" t="s">
        <v>28</v>
      </c>
      <c r="B2" s="6" t="s">
        <v>29</v>
      </c>
      <c r="C2" s="14" t="s">
        <v>30</v>
      </c>
      <c r="D2" s="6" t="s">
        <v>31</v>
      </c>
      <c r="E2" s="6" t="s">
        <v>32</v>
      </c>
      <c r="F2" s="6"/>
      <c r="G2" s="7">
        <v>22</v>
      </c>
      <c r="H2" s="8">
        <v>923.49</v>
      </c>
      <c r="I2" s="6" t="s">
        <v>33</v>
      </c>
      <c r="J2" s="9"/>
      <c r="K2" s="8">
        <v>974</v>
      </c>
      <c r="L2" s="13" t="str">
        <f ca="1">IF(I2="DKK",1,IFERROR(_xludf.XLOOKUP(I2,FX!$A$2:$A$20,FX!$B$2:$B$20,""),""))</f>
        <v/>
      </c>
      <c r="M2" s="11">
        <f t="shared" ref="M2:M30" si="0">IFERROR(G2*H2*J2,"")</f>
        <v>0</v>
      </c>
      <c r="N2" s="11" t="str">
        <f t="shared" ref="N2:N28" ca="1" si="1">IFERROR(G2*K2*L2,"")</f>
        <v/>
      </c>
      <c r="O2" s="12">
        <f>IFERROR(K2/H2-1,"")</f>
        <v>5.4694690792536971E-2</v>
      </c>
      <c r="P2" s="12" t="str">
        <f t="shared" ref="P2:P30" ca="1" si="2">IFERROR(L2/J2-1,"")</f>
        <v/>
      </c>
      <c r="Q2" s="11" t="str">
        <f t="shared" ref="Q2:Q30" ca="1" si="3">IFERROR(N2-M2,"")</f>
        <v/>
      </c>
      <c r="R2" s="12" t="str">
        <f t="shared" ref="R2:R30" ca="1" si="4">IFERROR(N2/M2-1,"")</f>
        <v/>
      </c>
      <c r="S2" s="12">
        <f ca="1">IF(W2=TRUE,IFERROR(N2/SUMIFS($N$2:$N$501,$W$2:$W$501,TRUE),0),0)</f>
        <v>0</v>
      </c>
      <c r="T2" s="6" t="s">
        <v>34</v>
      </c>
      <c r="U2" s="6" t="s">
        <v>35</v>
      </c>
      <c r="V2" s="10" t="b">
        <v>1</v>
      </c>
      <c r="W2" s="10" t="b">
        <v>1</v>
      </c>
      <c r="X2" s="6" t="s">
        <v>36</v>
      </c>
      <c r="Y2" s="6" t="s">
        <v>37</v>
      </c>
      <c r="Z2" s="6"/>
      <c r="AA2" s="14"/>
      <c r="AB2" s="14"/>
    </row>
    <row r="3" spans="1:28">
      <c r="A3" s="6" t="s">
        <v>38</v>
      </c>
      <c r="B3" s="6" t="s">
        <v>29</v>
      </c>
      <c r="C3" s="14" t="s">
        <v>39</v>
      </c>
      <c r="D3" s="6" t="s">
        <v>40</v>
      </c>
      <c r="E3" s="6" t="s">
        <v>41</v>
      </c>
      <c r="F3" s="6"/>
      <c r="G3" s="7">
        <v>64</v>
      </c>
      <c r="H3" s="8">
        <v>493.03</v>
      </c>
      <c r="I3" s="6" t="s">
        <v>42</v>
      </c>
      <c r="J3" s="9">
        <v>1</v>
      </c>
      <c r="K3" s="8">
        <v>637.5</v>
      </c>
      <c r="L3" s="13">
        <f>IF(I3="DKK",1,IFERROR(_xludf.XLOOKUP(I3,FX!$A$2:$A$20,FX!$B$2:$B$20,""),""))</f>
        <v>1</v>
      </c>
      <c r="M3" s="11">
        <f t="shared" si="0"/>
        <v>31553.919999999998</v>
      </c>
      <c r="N3" s="11">
        <f t="shared" si="1"/>
        <v>40800</v>
      </c>
      <c r="O3" s="12">
        <f t="shared" ref="O3:O30" si="5">IFERROR(K3/H3-1,"")</f>
        <v>0.29302476522726817</v>
      </c>
      <c r="P3" s="12">
        <f t="shared" si="2"/>
        <v>0</v>
      </c>
      <c r="Q3" s="11">
        <f t="shared" si="3"/>
        <v>9246.0800000000017</v>
      </c>
      <c r="R3" s="12">
        <f t="shared" si="4"/>
        <v>0.29302476522726817</v>
      </c>
      <c r="S3" s="12">
        <f ca="1">IF(W3=TRUE,IFERROR(N3/SUMIFS($N$2:$N$501,$W$2:$W$501,TRUE),0),0)</f>
        <v>5.5005901000702934E-2</v>
      </c>
      <c r="T3" s="6" t="s">
        <v>43</v>
      </c>
      <c r="U3" s="6" t="s">
        <v>35</v>
      </c>
      <c r="V3" s="10" t="b">
        <v>1</v>
      </c>
      <c r="W3" s="10" t="b">
        <v>1</v>
      </c>
      <c r="X3" s="6" t="s">
        <v>36</v>
      </c>
      <c r="Y3" s="6" t="s">
        <v>37</v>
      </c>
      <c r="Z3" s="6"/>
      <c r="AA3" s="14"/>
      <c r="AB3" s="14"/>
    </row>
    <row r="4" spans="1:28">
      <c r="A4" s="6" t="s">
        <v>44</v>
      </c>
      <c r="B4" s="6" t="s">
        <v>29</v>
      </c>
      <c r="C4" s="14" t="s">
        <v>216</v>
      </c>
      <c r="D4" s="6" t="s">
        <v>217</v>
      </c>
      <c r="E4" s="6" t="s">
        <v>217</v>
      </c>
      <c r="F4" s="6"/>
      <c r="G4" s="7">
        <v>6</v>
      </c>
      <c r="H4" s="8">
        <v>254.9</v>
      </c>
      <c r="I4" s="6" t="s">
        <v>48</v>
      </c>
      <c r="J4" s="9"/>
      <c r="K4" s="8">
        <v>253.95</v>
      </c>
      <c r="L4" s="13"/>
      <c r="M4" s="11"/>
      <c r="N4" s="11"/>
      <c r="O4" s="12">
        <f t="shared" si="5"/>
        <v>-3.7269517457827472E-3</v>
      </c>
      <c r="P4" s="12"/>
      <c r="Q4" s="11"/>
      <c r="R4" s="12"/>
      <c r="S4" s="12"/>
      <c r="T4" s="6" t="s">
        <v>49</v>
      </c>
      <c r="U4" s="6" t="s">
        <v>35</v>
      </c>
      <c r="V4" s="10" t="b">
        <v>1</v>
      </c>
      <c r="W4" s="10" t="b">
        <v>1</v>
      </c>
      <c r="X4" s="6" t="s">
        <v>36</v>
      </c>
      <c r="Y4" s="6" t="s">
        <v>37</v>
      </c>
      <c r="Z4" s="6"/>
      <c r="AA4" s="14"/>
      <c r="AB4" s="14"/>
    </row>
    <row r="5" spans="1:28">
      <c r="A5" s="6" t="s">
        <v>50</v>
      </c>
      <c r="B5" s="6" t="s">
        <v>29</v>
      </c>
      <c r="C5" s="14" t="s">
        <v>45</v>
      </c>
      <c r="D5" s="6" t="s">
        <v>46</v>
      </c>
      <c r="E5" s="6" t="s">
        <v>47</v>
      </c>
      <c r="F5" s="6"/>
      <c r="G5" s="7">
        <v>4</v>
      </c>
      <c r="H5" s="8">
        <v>1199.3</v>
      </c>
      <c r="I5" s="6" t="s">
        <v>48</v>
      </c>
      <c r="J5" s="9"/>
      <c r="K5" s="8">
        <v>1497.8</v>
      </c>
      <c r="L5" s="13" t="str">
        <f ca="1">IF(I5="DKK",1,IFERROR(_xludf.XLOOKUP(I5,FX!$A$2:$A$20,FX!$B$2:$B$20,""),""))</f>
        <v/>
      </c>
      <c r="M5" s="11">
        <f t="shared" si="0"/>
        <v>0</v>
      </c>
      <c r="N5" s="11" t="str">
        <f t="shared" ca="1" si="1"/>
        <v/>
      </c>
      <c r="O5" s="12">
        <f t="shared" si="5"/>
        <v>0.24889518886016848</v>
      </c>
      <c r="P5" s="12" t="str">
        <f t="shared" ca="1" si="2"/>
        <v/>
      </c>
      <c r="Q5" s="11" t="str">
        <f t="shared" ca="1" si="3"/>
        <v/>
      </c>
      <c r="R5" s="12" t="str">
        <f t="shared" ca="1" si="4"/>
        <v/>
      </c>
      <c r="S5" s="12">
        <f ca="1">IF(W5=TRUE,IFERROR(N5/SUMIFS($N$2:$N$501,$W$2:$W$501,TRUE),0),0)</f>
        <v>0</v>
      </c>
      <c r="T5" s="6" t="s">
        <v>49</v>
      </c>
      <c r="U5" s="6" t="s">
        <v>35</v>
      </c>
      <c r="V5" s="10" t="b">
        <v>1</v>
      </c>
      <c r="W5" s="10" t="b">
        <v>1</v>
      </c>
      <c r="X5" s="6" t="s">
        <v>36</v>
      </c>
      <c r="Y5" s="6" t="s">
        <v>37</v>
      </c>
      <c r="Z5" s="6"/>
      <c r="AA5" s="14"/>
      <c r="AB5" s="14"/>
    </row>
    <row r="6" spans="1:28">
      <c r="A6" s="6" t="s">
        <v>54</v>
      </c>
      <c r="B6" s="6" t="s">
        <v>29</v>
      </c>
      <c r="C6" s="14" t="s">
        <v>211</v>
      </c>
      <c r="D6" s="6" t="s">
        <v>210</v>
      </c>
      <c r="E6" s="6" t="s">
        <v>208</v>
      </c>
      <c r="F6" s="6"/>
      <c r="G6" s="7">
        <v>9</v>
      </c>
      <c r="H6" s="8">
        <v>292.97000000000003</v>
      </c>
      <c r="I6" s="6" t="s">
        <v>57</v>
      </c>
      <c r="J6" s="9"/>
      <c r="K6" s="8">
        <v>316.23</v>
      </c>
      <c r="L6" s="13"/>
      <c r="M6" s="11"/>
      <c r="N6" s="11"/>
      <c r="O6" s="12">
        <f t="shared" ref="O6" si="6">IFERROR(K6/H6-1,"")</f>
        <v>7.9393794586476441E-2</v>
      </c>
      <c r="P6" s="12" t="str">
        <f t="shared" ref="P6" si="7">IFERROR(L6/J6-1,"")</f>
        <v/>
      </c>
      <c r="Q6" s="11">
        <f t="shared" ref="Q6" si="8">IFERROR(N6-M6,"")</f>
        <v>0</v>
      </c>
      <c r="R6" s="12" t="str">
        <f t="shared" ref="R6" si="9">IFERROR(N6/M6-1,"")</f>
        <v/>
      </c>
      <c r="S6" s="12">
        <f ca="1">IF(W6=TRUE,IFERROR(N6/SUMIFS($N$2:$N$501,$W$2:$W$501,TRUE),0),0)</f>
        <v>0</v>
      </c>
      <c r="T6" s="6" t="s">
        <v>49</v>
      </c>
      <c r="U6" s="6" t="s">
        <v>35</v>
      </c>
      <c r="V6" s="10" t="b">
        <v>1</v>
      </c>
      <c r="W6" s="10" t="b">
        <v>1</v>
      </c>
      <c r="X6" s="6" t="s">
        <v>36</v>
      </c>
      <c r="Y6" s="6" t="s">
        <v>37</v>
      </c>
      <c r="Z6" s="6"/>
      <c r="AA6" s="14"/>
      <c r="AB6" s="14"/>
    </row>
    <row r="7" spans="1:28">
      <c r="A7" s="6" t="s">
        <v>59</v>
      </c>
      <c r="B7" s="6" t="s">
        <v>29</v>
      </c>
      <c r="C7" s="14" t="s">
        <v>51</v>
      </c>
      <c r="D7" s="6" t="s">
        <v>52</v>
      </c>
      <c r="E7" s="6" t="s">
        <v>53</v>
      </c>
      <c r="F7" s="6"/>
      <c r="G7" s="7">
        <v>125</v>
      </c>
      <c r="H7" s="8">
        <v>212.15</v>
      </c>
      <c r="I7" s="6" t="s">
        <v>42</v>
      </c>
      <c r="J7" s="9">
        <v>1</v>
      </c>
      <c r="K7" s="8">
        <v>377.4</v>
      </c>
      <c r="L7" s="13">
        <f>IF(I7="DKK",1,IFERROR(_xludf.XLOOKUP(I7,FX!$A$2:$A$20,FX!$B$2:$B$20,""),""))</f>
        <v>1</v>
      </c>
      <c r="M7" s="11">
        <f t="shared" si="0"/>
        <v>26518.75</v>
      </c>
      <c r="N7" s="11">
        <f t="shared" si="1"/>
        <v>47175</v>
      </c>
      <c r="O7" s="12">
        <f t="shared" si="5"/>
        <v>0.77893000235682286</v>
      </c>
      <c r="P7" s="12">
        <f t="shared" si="2"/>
        <v>0</v>
      </c>
      <c r="Q7" s="11">
        <f t="shared" si="3"/>
        <v>20656.25</v>
      </c>
      <c r="R7" s="12">
        <f t="shared" si="4"/>
        <v>0.77893000235682308</v>
      </c>
      <c r="S7" s="12">
        <f ca="1">IF(W7=TRUE,IFERROR(N7/SUMIFS($N$2:$N$501,$W$2:$W$501,TRUE),0),0)</f>
        <v>6.3600573032062777E-2</v>
      </c>
      <c r="T7" s="6" t="s">
        <v>43</v>
      </c>
      <c r="U7" s="6" t="s">
        <v>35</v>
      </c>
      <c r="V7" s="10" t="b">
        <v>1</v>
      </c>
      <c r="W7" s="10" t="b">
        <v>1</v>
      </c>
      <c r="X7" s="6" t="s">
        <v>36</v>
      </c>
      <c r="Y7" s="6" t="s">
        <v>37</v>
      </c>
      <c r="Z7" s="6"/>
      <c r="AA7" s="14"/>
      <c r="AB7" s="14"/>
    </row>
    <row r="8" spans="1:28">
      <c r="A8" s="6" t="s">
        <v>63</v>
      </c>
      <c r="B8" s="6" t="s">
        <v>29</v>
      </c>
      <c r="C8" s="14" t="s">
        <v>55</v>
      </c>
      <c r="D8" s="6" t="s">
        <v>56</v>
      </c>
      <c r="E8" s="6" t="s">
        <v>56</v>
      </c>
      <c r="F8" s="6"/>
      <c r="G8" s="7">
        <v>76</v>
      </c>
      <c r="H8" s="8">
        <v>47.25</v>
      </c>
      <c r="I8" s="6" t="s">
        <v>57</v>
      </c>
      <c r="J8" s="9"/>
      <c r="K8" s="8">
        <v>40</v>
      </c>
      <c r="L8" s="13" t="str">
        <f ca="1">IF(I8="DKK",1,IFERROR(_xludf.XLOOKUP(I8,FX!$A$2:$A$20,FX!$B$2:$B$20,""),""))</f>
        <v/>
      </c>
      <c r="M8" s="11">
        <f t="shared" si="0"/>
        <v>0</v>
      </c>
      <c r="N8" s="11" t="str">
        <f t="shared" ca="1" si="1"/>
        <v/>
      </c>
      <c r="O8" s="12">
        <f t="shared" si="5"/>
        <v>-0.15343915343915349</v>
      </c>
      <c r="P8" s="12" t="str">
        <f t="shared" ca="1" si="2"/>
        <v/>
      </c>
      <c r="Q8" s="11" t="str">
        <f t="shared" ca="1" si="3"/>
        <v/>
      </c>
      <c r="R8" s="12" t="str">
        <f t="shared" ca="1" si="4"/>
        <v/>
      </c>
      <c r="S8" s="12">
        <f ca="1">IF(W8=TRUE,IFERROR(N8/SUMIFS($N$2:$N$501,$W$2:$W$501,TRUE),0),0)</f>
        <v>0</v>
      </c>
      <c r="T8" s="6" t="s">
        <v>58</v>
      </c>
      <c r="U8" s="6" t="s">
        <v>35</v>
      </c>
      <c r="V8" s="10" t="b">
        <v>1</v>
      </c>
      <c r="W8" s="10" t="b">
        <v>1</v>
      </c>
      <c r="X8" s="6" t="s">
        <v>36</v>
      </c>
      <c r="Y8" s="6" t="s">
        <v>37</v>
      </c>
      <c r="Z8" s="6"/>
      <c r="AA8" s="14"/>
      <c r="AB8" s="14"/>
    </row>
    <row r="9" spans="1:28">
      <c r="A9" s="6" t="s">
        <v>66</v>
      </c>
      <c r="B9" s="6" t="s">
        <v>29</v>
      </c>
      <c r="C9" s="14" t="s">
        <v>60</v>
      </c>
      <c r="D9" s="6" t="s">
        <v>61</v>
      </c>
      <c r="E9" s="6" t="s">
        <v>62</v>
      </c>
      <c r="F9" s="6"/>
      <c r="G9" s="7">
        <v>16</v>
      </c>
      <c r="H9" s="8">
        <v>394.77</v>
      </c>
      <c r="I9" s="6" t="s">
        <v>48</v>
      </c>
      <c r="J9" s="9"/>
      <c r="K9" s="8">
        <v>425</v>
      </c>
      <c r="L9" s="13" t="str">
        <f ca="1">IF(I9="DKK",1,IFERROR(_xludf.XLOOKUP(I9,FX!$A$2:$A$20,FX!$B$2:$B$20,""),""))</f>
        <v/>
      </c>
      <c r="M9" s="11">
        <f t="shared" si="0"/>
        <v>0</v>
      </c>
      <c r="N9" s="11" t="str">
        <f t="shared" ca="1" si="1"/>
        <v/>
      </c>
      <c r="O9" s="12">
        <f t="shared" si="5"/>
        <v>7.6576234262988541E-2</v>
      </c>
      <c r="P9" s="12" t="str">
        <f t="shared" ca="1" si="2"/>
        <v/>
      </c>
      <c r="Q9" s="11" t="str">
        <f t="shared" ca="1" si="3"/>
        <v/>
      </c>
      <c r="R9" s="12" t="str">
        <f t="shared" ca="1" si="4"/>
        <v/>
      </c>
      <c r="S9" s="12">
        <f ca="1">IF(W9=TRUE,IFERROR(N9/SUMIFS($N$2:$N$501,$W$2:$W$501,TRUE),0),0)</f>
        <v>0</v>
      </c>
      <c r="T9" s="6" t="s">
        <v>49</v>
      </c>
      <c r="U9" s="6" t="s">
        <v>35</v>
      </c>
      <c r="V9" s="10" t="b">
        <v>1</v>
      </c>
      <c r="W9" s="10" t="b">
        <v>1</v>
      </c>
      <c r="X9" s="6" t="s">
        <v>36</v>
      </c>
      <c r="Y9" s="6" t="s">
        <v>37</v>
      </c>
      <c r="Z9" s="6"/>
      <c r="AA9" s="14"/>
      <c r="AB9" s="14"/>
    </row>
    <row r="10" spans="1:28">
      <c r="A10" s="6" t="s">
        <v>70</v>
      </c>
      <c r="B10" s="6" t="s">
        <v>29</v>
      </c>
      <c r="C10" s="14" t="s">
        <v>64</v>
      </c>
      <c r="D10" s="6" t="s">
        <v>65</v>
      </c>
      <c r="E10" s="6" t="s">
        <v>65</v>
      </c>
      <c r="F10" s="6"/>
      <c r="G10" s="7">
        <v>63</v>
      </c>
      <c r="H10" s="8">
        <v>405.68</v>
      </c>
      <c r="I10" s="6" t="s">
        <v>42</v>
      </c>
      <c r="J10" s="9">
        <v>1</v>
      </c>
      <c r="K10" s="8">
        <v>910</v>
      </c>
      <c r="L10" s="13">
        <f>IF(I10="DKK",1,IFERROR(_xludf.XLOOKUP(I10,FX!$A$2:$A$20,FX!$B$2:$B$20,""),""))</f>
        <v>1</v>
      </c>
      <c r="M10" s="11">
        <f t="shared" si="0"/>
        <v>25557.84</v>
      </c>
      <c r="N10" s="11">
        <f t="shared" si="1"/>
        <v>57330</v>
      </c>
      <c r="O10" s="12">
        <f t="shared" si="5"/>
        <v>1.2431473082232301</v>
      </c>
      <c r="P10" s="12">
        <f t="shared" si="2"/>
        <v>0</v>
      </c>
      <c r="Q10" s="11">
        <f t="shared" si="3"/>
        <v>31772.16</v>
      </c>
      <c r="R10" s="12">
        <f t="shared" si="4"/>
        <v>1.2431473082232301</v>
      </c>
      <c r="S10" s="12">
        <f ca="1">IF(W10=TRUE,IFERROR(N10/SUMIFS($N$2:$N$501,$W$2:$W$501,TRUE),0),0)</f>
        <v>7.7291380009075969E-2</v>
      </c>
      <c r="T10" s="6" t="s">
        <v>58</v>
      </c>
      <c r="U10" s="6" t="s">
        <v>35</v>
      </c>
      <c r="V10" s="10" t="b">
        <v>1</v>
      </c>
      <c r="W10" s="10" t="b">
        <v>1</v>
      </c>
      <c r="X10" s="6" t="s">
        <v>36</v>
      </c>
      <c r="Y10" s="6" t="s">
        <v>37</v>
      </c>
      <c r="Z10" s="6"/>
      <c r="AA10" s="14"/>
      <c r="AB10" s="14"/>
    </row>
    <row r="11" spans="1:28">
      <c r="A11" s="6" t="s">
        <v>75</v>
      </c>
      <c r="B11" s="6" t="s">
        <v>29</v>
      </c>
      <c r="C11" s="14" t="s">
        <v>67</v>
      </c>
      <c r="D11" s="6" t="s">
        <v>68</v>
      </c>
      <c r="E11" s="6" t="s">
        <v>68</v>
      </c>
      <c r="F11" s="6"/>
      <c r="G11" s="7">
        <v>396</v>
      </c>
      <c r="H11" s="8">
        <v>433</v>
      </c>
      <c r="I11" s="6" t="s">
        <v>42</v>
      </c>
      <c r="J11" s="9">
        <v>1</v>
      </c>
      <c r="K11" s="8">
        <v>298</v>
      </c>
      <c r="L11" s="13">
        <f>IF(I11="DKK",1,IFERROR(_xludf.XLOOKUP(I11,FX!$A$2:$A$20,FX!$B$2:$B$20,""),""))</f>
        <v>1</v>
      </c>
      <c r="M11" s="11">
        <f t="shared" si="0"/>
        <v>171468</v>
      </c>
      <c r="N11" s="11">
        <f t="shared" si="1"/>
        <v>118008</v>
      </c>
      <c r="O11" s="12">
        <f t="shared" si="5"/>
        <v>-0.31177829099307164</v>
      </c>
      <c r="P11" s="12">
        <f t="shared" si="2"/>
        <v>0</v>
      </c>
      <c r="Q11" s="11">
        <f t="shared" si="3"/>
        <v>-53460</v>
      </c>
      <c r="R11" s="12">
        <f t="shared" si="4"/>
        <v>-0.31177829099307164</v>
      </c>
      <c r="S11" s="12">
        <f ca="1">IF(W11=TRUE,IFERROR(N11/SUMIFS($N$2:$N$501,$W$2:$W$501,TRUE),0),0)</f>
        <v>0.1590964795414449</v>
      </c>
      <c r="T11" s="6" t="s">
        <v>69</v>
      </c>
      <c r="U11" s="6" t="s">
        <v>35</v>
      </c>
      <c r="V11" s="10" t="b">
        <v>1</v>
      </c>
      <c r="W11" s="10" t="b">
        <v>1</v>
      </c>
      <c r="X11" s="6" t="s">
        <v>36</v>
      </c>
      <c r="Y11" s="6" t="s">
        <v>37</v>
      </c>
      <c r="Z11" s="6"/>
      <c r="AA11" s="14"/>
      <c r="AB11" s="14"/>
    </row>
    <row r="12" spans="1:28">
      <c r="A12" s="6" t="s">
        <v>79</v>
      </c>
      <c r="B12" s="6" t="s">
        <v>29</v>
      </c>
      <c r="C12" s="14" t="s">
        <v>71</v>
      </c>
      <c r="D12" s="6" t="s">
        <v>72</v>
      </c>
      <c r="E12" s="6" t="s">
        <v>73</v>
      </c>
      <c r="F12" s="6"/>
      <c r="G12" s="7">
        <v>33</v>
      </c>
      <c r="H12" s="8">
        <v>710.62</v>
      </c>
      <c r="I12" s="6" t="s">
        <v>42</v>
      </c>
      <c r="J12" s="9">
        <v>1</v>
      </c>
      <c r="K12" s="8">
        <v>846.8</v>
      </c>
      <c r="L12" s="13">
        <f>IF(I12="DKK",1,IFERROR(_xludf.XLOOKUP(I12,FX!$A$2:$A$20,FX!$B$2:$B$20,""),""))</f>
        <v>1</v>
      </c>
      <c r="M12" s="11">
        <f t="shared" si="0"/>
        <v>23450.46</v>
      </c>
      <c r="N12" s="11">
        <f t="shared" si="1"/>
        <v>27944.399999999998</v>
      </c>
      <c r="O12" s="12">
        <f t="shared" si="5"/>
        <v>0.19163547324871222</v>
      </c>
      <c r="P12" s="12">
        <f t="shared" si="2"/>
        <v>0</v>
      </c>
      <c r="Q12" s="11">
        <f t="shared" si="3"/>
        <v>4493.9399999999987</v>
      </c>
      <c r="R12" s="12">
        <f t="shared" si="4"/>
        <v>0.19163547324871244</v>
      </c>
      <c r="S12" s="12">
        <f ca="1">IF(W12=TRUE,IFERROR(N12/SUMIFS($N$2:$N$501,$W$2:$W$501,TRUE),0),0)</f>
        <v>3.7674188723628502E-2</v>
      </c>
      <c r="T12" s="6" t="s">
        <v>74</v>
      </c>
      <c r="U12" s="6" t="s">
        <v>35</v>
      </c>
      <c r="V12" s="10" t="b">
        <v>1</v>
      </c>
      <c r="W12" s="10" t="b">
        <v>1</v>
      </c>
      <c r="X12" s="6" t="s">
        <v>36</v>
      </c>
      <c r="Y12" s="6" t="s">
        <v>37</v>
      </c>
      <c r="Z12" s="6"/>
      <c r="AA12" s="14"/>
      <c r="AB12" s="14"/>
    </row>
    <row r="13" spans="1:28">
      <c r="A13" s="6" t="s">
        <v>85</v>
      </c>
      <c r="B13" s="6" t="s">
        <v>29</v>
      </c>
      <c r="C13" s="14" t="s">
        <v>76</v>
      </c>
      <c r="D13" s="6" t="s">
        <v>77</v>
      </c>
      <c r="E13" s="6" t="s">
        <v>78</v>
      </c>
      <c r="F13" s="6"/>
      <c r="G13" s="7">
        <v>21</v>
      </c>
      <c r="H13" s="8">
        <v>137.86000000000001</v>
      </c>
      <c r="I13" s="6" t="s">
        <v>48</v>
      </c>
      <c r="J13" s="9"/>
      <c r="K13" s="8">
        <v>157.72</v>
      </c>
      <c r="L13" s="13" t="str">
        <f ca="1">IF(I13="DKK",1,IFERROR(_xludf.XLOOKUP(I13,FX!$A$2:$A$20,FX!$B$2:$B$20,""),""))</f>
        <v/>
      </c>
      <c r="M13" s="11">
        <f t="shared" si="0"/>
        <v>0</v>
      </c>
      <c r="N13" s="11" t="str">
        <f t="shared" ca="1" si="1"/>
        <v/>
      </c>
      <c r="O13" s="12">
        <f t="shared" si="5"/>
        <v>0.14405919048309856</v>
      </c>
      <c r="P13" s="12" t="str">
        <f t="shared" ca="1" si="2"/>
        <v/>
      </c>
      <c r="Q13" s="11" t="str">
        <f t="shared" ca="1" si="3"/>
        <v/>
      </c>
      <c r="R13" s="12" t="str">
        <f t="shared" ca="1" si="4"/>
        <v/>
      </c>
      <c r="S13" s="12">
        <f ca="1">IF(W13=TRUE,IFERROR(N13/SUMIFS($N$2:$N$501,$W$2:$W$501,TRUE),0),0)</f>
        <v>0</v>
      </c>
      <c r="T13" s="6" t="s">
        <v>34</v>
      </c>
      <c r="U13" s="6" t="s">
        <v>35</v>
      </c>
      <c r="V13" s="10" t="b">
        <v>1</v>
      </c>
      <c r="W13" s="10" t="b">
        <v>1</v>
      </c>
      <c r="X13" s="6" t="s">
        <v>36</v>
      </c>
      <c r="Y13" s="6" t="s">
        <v>37</v>
      </c>
      <c r="Z13" s="6"/>
      <c r="AA13" s="14"/>
      <c r="AB13" s="14"/>
    </row>
    <row r="14" spans="1:28">
      <c r="A14" s="6" t="s">
        <v>90</v>
      </c>
      <c r="B14" s="6" t="s">
        <v>29</v>
      </c>
      <c r="C14" s="14" t="s">
        <v>80</v>
      </c>
      <c r="D14" s="6" t="s">
        <v>81</v>
      </c>
      <c r="E14" s="6" t="s">
        <v>82</v>
      </c>
      <c r="F14" s="6"/>
      <c r="G14" s="7">
        <v>8</v>
      </c>
      <c r="H14" s="8">
        <v>408.97</v>
      </c>
      <c r="I14" s="6" t="s">
        <v>57</v>
      </c>
      <c r="J14" s="9"/>
      <c r="K14" s="8">
        <v>418</v>
      </c>
      <c r="L14" s="13" t="str">
        <f ca="1">IF(I14="DKK",1,IFERROR(_xludf.XLOOKUP(I14,FX!$A$2:$A$20,FX!$B$2:$B$20,""),""))</f>
        <v/>
      </c>
      <c r="M14" s="11">
        <f t="shared" si="0"/>
        <v>0</v>
      </c>
      <c r="N14" s="11" t="str">
        <f t="shared" ca="1" si="1"/>
        <v/>
      </c>
      <c r="O14" s="12">
        <f t="shared" si="5"/>
        <v>2.2079859158373516E-2</v>
      </c>
      <c r="P14" s="12" t="str">
        <f t="shared" ca="1" si="2"/>
        <v/>
      </c>
      <c r="Q14" s="11" t="str">
        <f t="shared" ca="1" si="3"/>
        <v/>
      </c>
      <c r="R14" s="12" t="str">
        <f t="shared" ca="1" si="4"/>
        <v/>
      </c>
      <c r="S14" s="12">
        <f ca="1">IF(W14=TRUE,IFERROR(N14/SUMIFS($N$2:$N$501,$W$2:$W$501,TRUE),0),0)</f>
        <v>0</v>
      </c>
      <c r="T14" s="6" t="s">
        <v>49</v>
      </c>
      <c r="U14" s="6" t="s">
        <v>35</v>
      </c>
      <c r="V14" s="10" t="b">
        <v>1</v>
      </c>
      <c r="W14" s="10" t="b">
        <v>1</v>
      </c>
      <c r="X14" s="6" t="s">
        <v>36</v>
      </c>
      <c r="Y14" s="6" t="s">
        <v>37</v>
      </c>
      <c r="Z14" s="6"/>
      <c r="AA14" s="14"/>
      <c r="AB14" s="14"/>
    </row>
    <row r="15" spans="1:28">
      <c r="A15" s="6" t="s">
        <v>95</v>
      </c>
      <c r="B15" s="6" t="s">
        <v>29</v>
      </c>
      <c r="C15" s="14" t="s">
        <v>86</v>
      </c>
      <c r="D15" s="6" t="s">
        <v>87</v>
      </c>
      <c r="E15" s="6" t="s">
        <v>88</v>
      </c>
      <c r="F15" s="6"/>
      <c r="G15" s="7">
        <v>104</v>
      </c>
      <c r="H15" s="8">
        <v>155.74</v>
      </c>
      <c r="I15" s="6" t="s">
        <v>42</v>
      </c>
      <c r="J15" s="9">
        <v>1</v>
      </c>
      <c r="K15" s="8">
        <v>176.55</v>
      </c>
      <c r="L15" s="13">
        <f>IF(I15="DKK",1,IFERROR(_xludf.XLOOKUP(I15,FX!$A$2:$A$20,FX!$B$2:$B$20,""),""))</f>
        <v>1</v>
      </c>
      <c r="M15" s="11">
        <f>IFERROR(G15*H15*J15,"")</f>
        <v>16196.960000000001</v>
      </c>
      <c r="N15" s="11">
        <f t="shared" si="1"/>
        <v>18361.2</v>
      </c>
      <c r="O15" s="12">
        <f t="shared" si="5"/>
        <v>0.13362013612430967</v>
      </c>
      <c r="P15" s="12">
        <f t="shared" si="2"/>
        <v>0</v>
      </c>
      <c r="Q15" s="11">
        <f t="shared" si="3"/>
        <v>2164.2399999999998</v>
      </c>
      <c r="R15" s="12">
        <f t="shared" si="4"/>
        <v>0.13362013612430967</v>
      </c>
      <c r="S15" s="12">
        <f ca="1">IF(W15=TRUE,IFERROR(N15/SUMIFS($N$2:$N$501,$W$2:$W$501,TRUE),0),0)</f>
        <v>2.4754273270933991E-2</v>
      </c>
      <c r="T15" s="6" t="s">
        <v>89</v>
      </c>
      <c r="U15" s="6" t="s">
        <v>35</v>
      </c>
      <c r="V15" s="10" t="b">
        <v>1</v>
      </c>
      <c r="W15" s="10" t="b">
        <v>1</v>
      </c>
      <c r="X15" s="6" t="s">
        <v>36</v>
      </c>
      <c r="Y15" s="6" t="s">
        <v>37</v>
      </c>
      <c r="Z15" s="6"/>
      <c r="AA15" s="14"/>
      <c r="AB15" s="14"/>
    </row>
    <row r="16" spans="1:28">
      <c r="A16" s="6" t="s">
        <v>98</v>
      </c>
      <c r="B16" s="6" t="s">
        <v>91</v>
      </c>
      <c r="C16" s="14" t="s">
        <v>92</v>
      </c>
      <c r="D16" s="6" t="s">
        <v>204</v>
      </c>
      <c r="E16" s="6" t="s">
        <v>204</v>
      </c>
      <c r="F16" s="6"/>
      <c r="G16" s="7">
        <v>12</v>
      </c>
      <c r="H16" s="8">
        <v>60.59</v>
      </c>
      <c r="I16" s="6" t="s">
        <v>57</v>
      </c>
      <c r="J16" s="9"/>
      <c r="K16" s="8">
        <v>58</v>
      </c>
      <c r="L16" s="13" t="str">
        <f ca="1">IF(I16="DKK",1,IFERROR(_xludf.XLOOKUP(I16,FX!$A$2:$A$20,FX!$B$2:$B$20,""),""))</f>
        <v/>
      </c>
      <c r="M16" s="11">
        <f t="shared" si="0"/>
        <v>0</v>
      </c>
      <c r="N16" s="11" t="str">
        <f t="shared" ca="1" si="1"/>
        <v/>
      </c>
      <c r="O16" s="12">
        <f t="shared" si="5"/>
        <v>-4.2746327776860937E-2</v>
      </c>
      <c r="P16" s="12" t="str">
        <f t="shared" ca="1" si="2"/>
        <v/>
      </c>
      <c r="Q16" s="11" t="str">
        <f t="shared" ca="1" si="3"/>
        <v/>
      </c>
      <c r="R16" s="12" t="str">
        <f t="shared" ca="1" si="4"/>
        <v/>
      </c>
      <c r="S16" s="12">
        <f ca="1">IF(W16=TRUE,IFERROR(N16/SUMIFS($N$2:$N$501,$W$2:$W$501,TRUE),0),0)</f>
        <v>0</v>
      </c>
      <c r="T16" s="6" t="s">
        <v>93</v>
      </c>
      <c r="U16" s="6" t="s">
        <v>35</v>
      </c>
      <c r="V16" s="10" t="b">
        <v>1</v>
      </c>
      <c r="W16" s="10" t="b">
        <v>1</v>
      </c>
      <c r="X16" s="6" t="s">
        <v>36</v>
      </c>
      <c r="Y16" s="6" t="s">
        <v>37</v>
      </c>
      <c r="Z16" s="6"/>
      <c r="AA16" s="14" t="s">
        <v>94</v>
      </c>
      <c r="AB16" s="14"/>
    </row>
    <row r="17" spans="1:28">
      <c r="A17" s="6" t="s">
        <v>101</v>
      </c>
      <c r="B17" s="6" t="s">
        <v>91</v>
      </c>
      <c r="C17" s="14" t="s">
        <v>96</v>
      </c>
      <c r="D17" s="6" t="s">
        <v>97</v>
      </c>
      <c r="E17" s="6" t="s">
        <v>97</v>
      </c>
      <c r="F17" s="6"/>
      <c r="G17" s="7">
        <v>39</v>
      </c>
      <c r="H17" s="8">
        <v>46.039000000000001</v>
      </c>
      <c r="I17" s="6" t="s">
        <v>48</v>
      </c>
      <c r="J17" s="9"/>
      <c r="K17" s="8">
        <v>48</v>
      </c>
      <c r="L17" s="13" t="str">
        <f ca="1">IF(I17="DKK",1,IFERROR(_xludf.XLOOKUP(I17,FX!$A$2:$A$20,FX!$B$2:$B$20,""),""))</f>
        <v/>
      </c>
      <c r="M17" s="11">
        <f t="shared" si="0"/>
        <v>0</v>
      </c>
      <c r="N17" s="11" t="str">
        <f t="shared" ca="1" si="1"/>
        <v/>
      </c>
      <c r="O17" s="12">
        <f t="shared" si="5"/>
        <v>4.2594322205086854E-2</v>
      </c>
      <c r="P17" s="12" t="str">
        <f t="shared" ca="1" si="2"/>
        <v/>
      </c>
      <c r="Q17" s="11" t="str">
        <f t="shared" ca="1" si="3"/>
        <v/>
      </c>
      <c r="R17" s="12" t="str">
        <f t="shared" ca="1" si="4"/>
        <v/>
      </c>
      <c r="S17" s="12">
        <f ca="1">IF(W17=TRUE,IFERROR(N17/SUMIFS($N$2:$N$501,$W$2:$W$501,TRUE),0),0)</f>
        <v>0</v>
      </c>
      <c r="T17" s="6" t="s">
        <v>34</v>
      </c>
      <c r="U17" s="6" t="s">
        <v>35</v>
      </c>
      <c r="V17" s="10" t="b">
        <v>1</v>
      </c>
      <c r="W17" s="10" t="b">
        <v>1</v>
      </c>
      <c r="X17" s="6" t="s">
        <v>36</v>
      </c>
      <c r="Y17" s="6" t="s">
        <v>37</v>
      </c>
      <c r="Z17" s="6"/>
      <c r="AA17" s="14"/>
      <c r="AB17" s="14"/>
    </row>
    <row r="18" spans="1:28">
      <c r="A18" s="6" t="s">
        <v>104</v>
      </c>
      <c r="B18" s="6" t="s">
        <v>91</v>
      </c>
      <c r="C18" s="14" t="s">
        <v>99</v>
      </c>
      <c r="D18" s="6" t="s">
        <v>100</v>
      </c>
      <c r="E18" s="6" t="s">
        <v>100</v>
      </c>
      <c r="F18" s="6"/>
      <c r="G18" s="7">
        <v>52</v>
      </c>
      <c r="H18" s="8">
        <v>28.96</v>
      </c>
      <c r="I18" s="6" t="s">
        <v>48</v>
      </c>
      <c r="J18" s="9"/>
      <c r="K18" s="8">
        <v>23</v>
      </c>
      <c r="L18" s="13" t="str">
        <f ca="1">IF(I18="DKK",1,IFERROR(_xludf.XLOOKUP(I18,FX!$A$2:$A$20,FX!$B$2:$B$20,""),""))</f>
        <v/>
      </c>
      <c r="M18" s="11">
        <f>IFERROR(G18*H18*J18,"")</f>
        <v>0</v>
      </c>
      <c r="N18" s="11" t="str">
        <f ca="1">IFERROR(G18*K18*L18,"")</f>
        <v/>
      </c>
      <c r="O18" s="12">
        <f>IFERROR(K18/H18-1,"")</f>
        <v>-0.20580110497237569</v>
      </c>
      <c r="P18" s="12" t="str">
        <f ca="1">IFERROR(L18/J18-1,"")</f>
        <v/>
      </c>
      <c r="Q18" s="11" t="str">
        <f ca="1">IFERROR(N18-M18,"")</f>
        <v/>
      </c>
      <c r="R18" s="12" t="str">
        <f ca="1">IFERROR(N18/M18-1,"")</f>
        <v/>
      </c>
      <c r="S18" s="12">
        <f ca="1">IF(W18=TRUE,IFERROR(N18/SUMIFS($N$2:$N$501,$W$2:$W$501,TRUE),0),0)</f>
        <v>0</v>
      </c>
      <c r="T18" s="6" t="s">
        <v>89</v>
      </c>
      <c r="U18" s="6" t="s">
        <v>35</v>
      </c>
      <c r="V18" s="10" t="b">
        <v>1</v>
      </c>
      <c r="W18" s="10" t="b">
        <v>1</v>
      </c>
      <c r="X18" s="6" t="s">
        <v>36</v>
      </c>
      <c r="Y18" s="6" t="s">
        <v>37</v>
      </c>
      <c r="Z18" s="6"/>
      <c r="AA18" s="14"/>
      <c r="AB18" s="14"/>
    </row>
    <row r="19" spans="1:28">
      <c r="A19" s="6" t="s">
        <v>107</v>
      </c>
      <c r="B19" s="6" t="s">
        <v>91</v>
      </c>
      <c r="C19" s="14" t="s">
        <v>199</v>
      </c>
      <c r="D19" s="6" t="s">
        <v>200</v>
      </c>
      <c r="E19" s="6" t="s">
        <v>201</v>
      </c>
      <c r="F19" s="6"/>
      <c r="G19" s="7">
        <v>50</v>
      </c>
      <c r="H19" s="8">
        <v>80.14</v>
      </c>
      <c r="I19" s="6" t="s">
        <v>48</v>
      </c>
      <c r="J19" s="9"/>
      <c r="K19" s="8">
        <v>79</v>
      </c>
      <c r="L19" s="13"/>
      <c r="M19" s="11"/>
      <c r="N19" s="11"/>
      <c r="O19" s="12">
        <f t="shared" si="5"/>
        <v>-1.4225106064387316E-2</v>
      </c>
      <c r="P19" s="12"/>
      <c r="Q19" s="11"/>
      <c r="R19" s="12"/>
      <c r="S19" s="12"/>
      <c r="T19" s="6" t="s">
        <v>133</v>
      </c>
      <c r="U19" s="6" t="s">
        <v>35</v>
      </c>
      <c r="V19" s="10" t="b">
        <v>1</v>
      </c>
      <c r="W19" s="10" t="b">
        <v>1</v>
      </c>
      <c r="X19" s="6" t="s">
        <v>36</v>
      </c>
      <c r="Y19" s="6" t="s">
        <v>37</v>
      </c>
      <c r="Z19" s="6"/>
      <c r="AA19" s="14"/>
      <c r="AB19" s="14"/>
    </row>
    <row r="20" spans="1:28">
      <c r="A20" s="6" t="s">
        <v>108</v>
      </c>
      <c r="B20" s="6" t="s">
        <v>91</v>
      </c>
      <c r="C20" s="14" t="s">
        <v>102</v>
      </c>
      <c r="D20" s="6" t="s">
        <v>103</v>
      </c>
      <c r="E20" s="6" t="s">
        <v>103</v>
      </c>
      <c r="F20" s="6"/>
      <c r="G20" s="7">
        <v>185</v>
      </c>
      <c r="H20" s="8">
        <v>10.62</v>
      </c>
      <c r="I20" s="6" t="s">
        <v>48</v>
      </c>
      <c r="J20" s="9"/>
      <c r="K20" s="8">
        <v>9.3000000000000007</v>
      </c>
      <c r="L20" s="13" t="str">
        <f ca="1">IF(I20="DKK",1,IFERROR(_xludf.XLOOKUP(I20,FX!$A$2:$A$20,FX!$B$2:$B$20,""),""))</f>
        <v/>
      </c>
      <c r="M20" s="11">
        <f t="shared" si="0"/>
        <v>0</v>
      </c>
      <c r="N20" s="11" t="str">
        <f t="shared" ca="1" si="1"/>
        <v/>
      </c>
      <c r="O20" s="12">
        <f t="shared" si="5"/>
        <v>-0.12429378531073432</v>
      </c>
      <c r="P20" s="12" t="str">
        <f t="shared" ca="1" si="2"/>
        <v/>
      </c>
      <c r="Q20" s="11" t="str">
        <f t="shared" ca="1" si="3"/>
        <v/>
      </c>
      <c r="R20" s="12" t="str">
        <f t="shared" ca="1" si="4"/>
        <v/>
      </c>
      <c r="S20" s="12">
        <f ca="1">IF(W20=TRUE,IFERROR(N20/SUMIFS($N$2:$N$501,$W$2:$W$501,TRUE),0),0)</f>
        <v>0</v>
      </c>
      <c r="T20" s="6" t="s">
        <v>89</v>
      </c>
      <c r="U20" s="6" t="s">
        <v>35</v>
      </c>
      <c r="V20" s="10" t="b">
        <v>1</v>
      </c>
      <c r="W20" s="10" t="b">
        <v>1</v>
      </c>
      <c r="X20" s="6" t="s">
        <v>36</v>
      </c>
      <c r="Y20" s="6" t="s">
        <v>37</v>
      </c>
      <c r="Z20" s="6"/>
      <c r="AA20" s="14"/>
      <c r="AB20" s="14"/>
    </row>
    <row r="21" spans="1:28">
      <c r="A21" s="6" t="s">
        <v>112</v>
      </c>
      <c r="B21" s="6" t="s">
        <v>91</v>
      </c>
      <c r="C21" s="14" t="s">
        <v>105</v>
      </c>
      <c r="D21" s="6" t="s">
        <v>106</v>
      </c>
      <c r="E21" s="6" t="s">
        <v>106</v>
      </c>
      <c r="F21" s="6"/>
      <c r="G21" s="7">
        <v>313</v>
      </c>
      <c r="H21" s="8">
        <v>10.427</v>
      </c>
      <c r="I21" s="6" t="s">
        <v>48</v>
      </c>
      <c r="J21" s="9"/>
      <c r="K21" s="8">
        <v>17</v>
      </c>
      <c r="L21" s="13" t="str">
        <f ca="1">IF(I21="DKK",1,IFERROR(_xludf.XLOOKUP(I21,FX!$A$2:$A$20,FX!$B$2:$B$20,""),""))</f>
        <v/>
      </c>
      <c r="M21" s="11">
        <f t="shared" si="0"/>
        <v>0</v>
      </c>
      <c r="N21" s="11" t="str">
        <f t="shared" ca="1" si="1"/>
        <v/>
      </c>
      <c r="O21" s="12">
        <f t="shared" si="5"/>
        <v>0.63038266040088242</v>
      </c>
      <c r="P21" s="12" t="str">
        <f t="shared" ca="1" si="2"/>
        <v/>
      </c>
      <c r="Q21" s="11" t="str">
        <f t="shared" ca="1" si="3"/>
        <v/>
      </c>
      <c r="R21" s="12" t="str">
        <f t="shared" ca="1" si="4"/>
        <v/>
      </c>
      <c r="S21" s="12">
        <f ca="1">IF(W21=TRUE,IFERROR(N21/SUMIFS($N$2:$N$501,$W$2:$W$501,TRUE),0),0)</f>
        <v>0</v>
      </c>
      <c r="T21" s="6" t="s">
        <v>49</v>
      </c>
      <c r="U21" s="6" t="s">
        <v>35</v>
      </c>
      <c r="V21" s="10" t="b">
        <v>1</v>
      </c>
      <c r="W21" s="10" t="b">
        <v>1</v>
      </c>
      <c r="X21" s="6" t="s">
        <v>36</v>
      </c>
      <c r="Y21" s="6" t="s">
        <v>37</v>
      </c>
      <c r="Z21" s="6"/>
      <c r="AA21" s="14"/>
      <c r="AB21" s="14"/>
    </row>
    <row r="22" spans="1:28">
      <c r="A22" s="6" t="s">
        <v>116</v>
      </c>
      <c r="B22" s="6" t="s">
        <v>91</v>
      </c>
      <c r="C22" s="14" t="s">
        <v>109</v>
      </c>
      <c r="D22" s="6" t="s">
        <v>110</v>
      </c>
      <c r="E22" s="6" t="s">
        <v>110</v>
      </c>
      <c r="F22" s="6"/>
      <c r="G22" s="7">
        <v>262</v>
      </c>
      <c r="H22" s="8">
        <v>8.89</v>
      </c>
      <c r="I22" s="6" t="s">
        <v>48</v>
      </c>
      <c r="J22" s="9"/>
      <c r="K22" s="8">
        <v>8</v>
      </c>
      <c r="L22" s="13" t="str">
        <f ca="1">IF(I22="DKK",1,IFERROR(_xludf.XLOOKUP(I22,FX!$A$2:$A$20,FX!$B$2:$B$20,""),""))</f>
        <v/>
      </c>
      <c r="M22" s="11">
        <f t="shared" si="0"/>
        <v>0</v>
      </c>
      <c r="N22" s="11" t="str">
        <f t="shared" ca="1" si="1"/>
        <v/>
      </c>
      <c r="O22" s="12">
        <f t="shared" si="5"/>
        <v>-0.1001124859392577</v>
      </c>
      <c r="P22" s="12" t="str">
        <f t="shared" ca="1" si="2"/>
        <v/>
      </c>
      <c r="Q22" s="11" t="str">
        <f t="shared" ca="1" si="3"/>
        <v/>
      </c>
      <c r="R22" s="12" t="str">
        <f t="shared" ca="1" si="4"/>
        <v/>
      </c>
      <c r="S22" s="12">
        <f ca="1">IF(W22=TRUE,IFERROR(N22/SUMIFS($N$2:$N$501,$W$2:$W$501,TRUE),0),0)</f>
        <v>0</v>
      </c>
      <c r="T22" s="6" t="s">
        <v>111</v>
      </c>
      <c r="U22" s="6" t="s">
        <v>35</v>
      </c>
      <c r="V22" s="10" t="b">
        <v>1</v>
      </c>
      <c r="W22" s="10" t="b">
        <v>1</v>
      </c>
      <c r="X22" s="6" t="s">
        <v>36</v>
      </c>
      <c r="Y22" s="6" t="s">
        <v>37</v>
      </c>
      <c r="Z22" s="6"/>
      <c r="AA22" s="14"/>
      <c r="AB22" s="14"/>
    </row>
    <row r="23" spans="1:28">
      <c r="A23" s="6" t="s">
        <v>119</v>
      </c>
      <c r="B23" s="6" t="s">
        <v>91</v>
      </c>
      <c r="C23" s="14" t="s">
        <v>113</v>
      </c>
      <c r="D23" s="6" t="s">
        <v>114</v>
      </c>
      <c r="E23" s="6" t="s">
        <v>114</v>
      </c>
      <c r="F23" s="6"/>
      <c r="G23" s="7">
        <v>44</v>
      </c>
      <c r="H23" s="8">
        <v>56.9</v>
      </c>
      <c r="I23" s="6" t="s">
        <v>48</v>
      </c>
      <c r="J23" s="9"/>
      <c r="K23" s="8">
        <v>56</v>
      </c>
      <c r="L23" s="13" t="str">
        <f ca="1">IF(I23="DKK",1,IFERROR(_xludf.XLOOKUP(I23,FX!$A$2:$A$20,FX!$B$2:$B$20,""),""))</f>
        <v/>
      </c>
      <c r="M23" s="11">
        <f t="shared" si="0"/>
        <v>0</v>
      </c>
      <c r="N23" s="11" t="str">
        <f t="shared" ca="1" si="1"/>
        <v/>
      </c>
      <c r="O23" s="12">
        <f t="shared" si="5"/>
        <v>-1.5817223198594021E-2</v>
      </c>
      <c r="P23" s="12" t="str">
        <f t="shared" ca="1" si="2"/>
        <v/>
      </c>
      <c r="Q23" s="11" t="str">
        <f t="shared" ca="1" si="3"/>
        <v/>
      </c>
      <c r="R23" s="12" t="str">
        <f t="shared" ca="1" si="4"/>
        <v/>
      </c>
      <c r="S23" s="12">
        <f ca="1">IF(W23=TRUE,IFERROR(N23/SUMIFS($N$2:$N$501,$W$2:$W$501,TRUE),0),0)</f>
        <v>0</v>
      </c>
      <c r="T23" s="6" t="s">
        <v>115</v>
      </c>
      <c r="U23" s="6" t="s">
        <v>35</v>
      </c>
      <c r="V23" s="10" t="b">
        <v>1</v>
      </c>
      <c r="W23" s="10" t="b">
        <v>1</v>
      </c>
      <c r="X23" s="6" t="s">
        <v>36</v>
      </c>
      <c r="Y23" s="6" t="s">
        <v>37</v>
      </c>
      <c r="Z23" s="6"/>
      <c r="AA23" s="14"/>
      <c r="AB23" s="14"/>
    </row>
    <row r="24" spans="1:28">
      <c r="A24" s="6" t="s">
        <v>122</v>
      </c>
      <c r="B24" s="6" t="s">
        <v>91</v>
      </c>
      <c r="C24" s="14" t="s">
        <v>117</v>
      </c>
      <c r="D24" s="6" t="s">
        <v>118</v>
      </c>
      <c r="E24" s="6" t="s">
        <v>118</v>
      </c>
      <c r="F24" s="6"/>
      <c r="G24" s="7">
        <v>30</v>
      </c>
      <c r="H24" s="8">
        <v>27.024999999999999</v>
      </c>
      <c r="I24" s="6" t="s">
        <v>48</v>
      </c>
      <c r="J24" s="9"/>
      <c r="K24" s="8">
        <v>26</v>
      </c>
      <c r="L24" s="13" t="str">
        <f ca="1">IF(I24="DKK",1,IFERROR(_xludf.XLOOKUP(I24,FX!$A$2:$A$20,FX!$B$2:$B$20,""),""))</f>
        <v/>
      </c>
      <c r="M24" s="11">
        <f t="shared" si="0"/>
        <v>0</v>
      </c>
      <c r="N24" s="11" t="str">
        <f t="shared" ca="1" si="1"/>
        <v/>
      </c>
      <c r="O24" s="12">
        <f t="shared" si="5"/>
        <v>-3.7927844588344084E-2</v>
      </c>
      <c r="P24" s="12" t="str">
        <f t="shared" ca="1" si="2"/>
        <v/>
      </c>
      <c r="Q24" s="11" t="str">
        <f t="shared" ca="1" si="3"/>
        <v/>
      </c>
      <c r="R24" s="12" t="str">
        <f t="shared" ca="1" si="4"/>
        <v/>
      </c>
      <c r="S24" s="12">
        <f ca="1">IF(W24=TRUE,IFERROR(N24/SUMIFS($N$2:$N$501,$W$2:$W$501,TRUE),0),0)</f>
        <v>0</v>
      </c>
      <c r="T24" s="6" t="s">
        <v>49</v>
      </c>
      <c r="U24" s="6" t="s">
        <v>35</v>
      </c>
      <c r="V24" s="10" t="b">
        <v>1</v>
      </c>
      <c r="W24" s="10" t="b">
        <v>1</v>
      </c>
      <c r="X24" s="6" t="s">
        <v>36</v>
      </c>
      <c r="Y24" s="6" t="s">
        <v>37</v>
      </c>
      <c r="Z24" s="6"/>
      <c r="AA24" s="14"/>
      <c r="AB24" s="14"/>
    </row>
    <row r="25" spans="1:28">
      <c r="A25" s="6" t="s">
        <v>125</v>
      </c>
      <c r="B25" s="6" t="s">
        <v>91</v>
      </c>
      <c r="C25" s="14" t="s">
        <v>120</v>
      </c>
      <c r="D25" s="6" t="s">
        <v>121</v>
      </c>
      <c r="E25" s="6" t="s">
        <v>121</v>
      </c>
      <c r="F25" s="6"/>
      <c r="G25" s="7">
        <v>161</v>
      </c>
      <c r="H25" s="8">
        <v>16.59</v>
      </c>
      <c r="I25" s="6" t="s">
        <v>48</v>
      </c>
      <c r="J25" s="9"/>
      <c r="K25" s="8">
        <v>12</v>
      </c>
      <c r="L25" s="13" t="str">
        <f ca="1">IF(I25="DKK",1,IFERROR(_xludf.XLOOKUP(I25,FX!$A$2:$A$20,FX!$B$2:$B$20,""),""))</f>
        <v/>
      </c>
      <c r="M25" s="11">
        <f t="shared" si="0"/>
        <v>0</v>
      </c>
      <c r="N25" s="11" t="str">
        <f t="shared" ca="1" si="1"/>
        <v/>
      </c>
      <c r="O25" s="12">
        <f t="shared" si="5"/>
        <v>-0.27667269439421338</v>
      </c>
      <c r="P25" s="12" t="str">
        <f t="shared" ca="1" si="2"/>
        <v/>
      </c>
      <c r="Q25" s="11" t="str">
        <f t="shared" ca="1" si="3"/>
        <v/>
      </c>
      <c r="R25" s="12" t="str">
        <f t="shared" ca="1" si="4"/>
        <v/>
      </c>
      <c r="S25" s="12">
        <f ca="1">IF(W25=TRUE,IFERROR(N25/SUMIFS($N$2:$N$501,$W$2:$W$501,TRUE),0),0)</f>
        <v>0</v>
      </c>
      <c r="T25" s="6" t="s">
        <v>93</v>
      </c>
      <c r="U25" s="6" t="s">
        <v>35</v>
      </c>
      <c r="V25" s="10" t="b">
        <v>1</v>
      </c>
      <c r="W25" s="10" t="b">
        <v>1</v>
      </c>
      <c r="X25" s="6" t="s">
        <v>36</v>
      </c>
      <c r="Y25" s="6" t="s">
        <v>37</v>
      </c>
      <c r="Z25" s="6"/>
      <c r="AA25" s="14"/>
      <c r="AB25" s="14"/>
    </row>
    <row r="26" spans="1:28">
      <c r="A26" s="6" t="s">
        <v>129</v>
      </c>
      <c r="B26" s="6" t="s">
        <v>91</v>
      </c>
      <c r="C26" s="14" t="s">
        <v>123</v>
      </c>
      <c r="D26" s="6" t="s">
        <v>124</v>
      </c>
      <c r="E26" s="6" t="s">
        <v>124</v>
      </c>
      <c r="F26" s="6"/>
      <c r="G26" s="7">
        <v>16</v>
      </c>
      <c r="H26" s="8">
        <v>58.1</v>
      </c>
      <c r="I26" s="6" t="s">
        <v>48</v>
      </c>
      <c r="J26" s="9"/>
      <c r="K26" s="8">
        <v>54</v>
      </c>
      <c r="L26" s="13" t="str">
        <f ca="1">IF(I26="DKK",1,IFERROR(_xludf.XLOOKUP(I26,FX!$A$2:$A$20,FX!$B$2:$B$20,""),""))</f>
        <v/>
      </c>
      <c r="M26" s="11">
        <f t="shared" si="0"/>
        <v>0</v>
      </c>
      <c r="N26" s="11" t="str">
        <f t="shared" ca="1" si="1"/>
        <v/>
      </c>
      <c r="O26" s="12">
        <f t="shared" si="5"/>
        <v>-7.056798623063687E-2</v>
      </c>
      <c r="P26" s="12" t="str">
        <f t="shared" ca="1" si="2"/>
        <v/>
      </c>
      <c r="Q26" s="11" t="str">
        <f t="shared" ca="1" si="3"/>
        <v/>
      </c>
      <c r="R26" s="12" t="str">
        <f t="shared" ca="1" si="4"/>
        <v/>
      </c>
      <c r="S26" s="12">
        <f ca="1">IF(W26=TRUE,IFERROR(N26/SUMIFS($N$2:$N$501,$W$2:$W$501,TRUE),0),0)</f>
        <v>0</v>
      </c>
      <c r="T26" s="6" t="s">
        <v>93</v>
      </c>
      <c r="U26" s="6" t="s">
        <v>35</v>
      </c>
      <c r="V26" s="10" t="b">
        <v>1</v>
      </c>
      <c r="W26" s="10" t="b">
        <v>1</v>
      </c>
      <c r="X26" s="6" t="s">
        <v>36</v>
      </c>
      <c r="Y26" s="6" t="s">
        <v>37</v>
      </c>
      <c r="Z26" s="6"/>
      <c r="AA26" s="14"/>
      <c r="AB26" s="14"/>
    </row>
    <row r="27" spans="1:28">
      <c r="A27" s="6" t="s">
        <v>130</v>
      </c>
      <c r="B27" s="6" t="s">
        <v>91</v>
      </c>
      <c r="C27" s="14" t="s">
        <v>126</v>
      </c>
      <c r="D27" s="6" t="s">
        <v>127</v>
      </c>
      <c r="E27" s="6" t="s">
        <v>127</v>
      </c>
      <c r="F27" s="6"/>
      <c r="G27" s="7">
        <v>15</v>
      </c>
      <c r="H27" s="8">
        <v>95.08</v>
      </c>
      <c r="I27" s="6" t="s">
        <v>48</v>
      </c>
      <c r="J27" s="9"/>
      <c r="K27" s="8">
        <v>75</v>
      </c>
      <c r="L27" s="13" t="str">
        <f ca="1">IF(I27="DKK",1,IFERROR(_xludf.XLOOKUP(I27,FX!$A$2:$A$20,FX!$B$2:$B$20,""),""))</f>
        <v/>
      </c>
      <c r="M27" s="11">
        <f t="shared" si="0"/>
        <v>0</v>
      </c>
      <c r="N27" s="11" t="str">
        <f t="shared" ca="1" si="1"/>
        <v/>
      </c>
      <c r="O27" s="12">
        <f t="shared" si="5"/>
        <v>-0.2111905763567522</v>
      </c>
      <c r="P27" s="12" t="str">
        <f t="shared" ca="1" si="2"/>
        <v/>
      </c>
      <c r="Q27" s="11" t="str">
        <f t="shared" ca="1" si="3"/>
        <v/>
      </c>
      <c r="R27" s="12" t="str">
        <f t="shared" ca="1" si="4"/>
        <v/>
      </c>
      <c r="S27" s="12">
        <f ca="1">IF(W27=TRUE,IFERROR(N27/SUMIFS($N$2:$N$501,$W$2:$W$501,TRUE),0),0)</f>
        <v>0</v>
      </c>
      <c r="T27" s="6" t="s">
        <v>128</v>
      </c>
      <c r="U27" s="6" t="s">
        <v>35</v>
      </c>
      <c r="V27" s="10" t="b">
        <v>1</v>
      </c>
      <c r="W27" s="10" t="b">
        <v>1</v>
      </c>
      <c r="X27" s="6" t="s">
        <v>36</v>
      </c>
      <c r="Y27" s="6" t="s">
        <v>37</v>
      </c>
      <c r="Z27" s="6"/>
      <c r="AA27" s="14"/>
      <c r="AB27" s="14"/>
    </row>
    <row r="28" spans="1:28">
      <c r="A28" s="6" t="s">
        <v>135</v>
      </c>
      <c r="B28" s="6" t="s">
        <v>91</v>
      </c>
      <c r="C28" s="14" t="s">
        <v>131</v>
      </c>
      <c r="D28" s="6" t="s">
        <v>132</v>
      </c>
      <c r="E28" s="6" t="s">
        <v>132</v>
      </c>
      <c r="F28" s="6"/>
      <c r="G28" s="7">
        <v>38</v>
      </c>
      <c r="H28" s="8">
        <v>166.35</v>
      </c>
      <c r="I28" s="6" t="s">
        <v>48</v>
      </c>
      <c r="J28" s="9"/>
      <c r="K28" s="8">
        <v>175.52</v>
      </c>
      <c r="L28" s="13" t="str">
        <f ca="1">IF(I28="DKK",1,IFERROR(_xludf.XLOOKUP(I28,FX!$A$2:$A$20,FX!$B$2:$B$20,""),""))</f>
        <v/>
      </c>
      <c r="M28" s="11">
        <f t="shared" si="0"/>
        <v>0</v>
      </c>
      <c r="N28" s="11" t="str">
        <f t="shared" ca="1" si="1"/>
        <v/>
      </c>
      <c r="O28" s="12">
        <f t="shared" si="5"/>
        <v>5.5124737000300739E-2</v>
      </c>
      <c r="P28" s="12" t="str">
        <f t="shared" ca="1" si="2"/>
        <v/>
      </c>
      <c r="Q28" s="11" t="str">
        <f t="shared" ca="1" si="3"/>
        <v/>
      </c>
      <c r="R28" s="12" t="str">
        <f t="shared" ca="1" si="4"/>
        <v/>
      </c>
      <c r="S28" s="12">
        <f ca="1">IF(W28=TRUE,IFERROR(N28/SUMIFS($N$2:$N$501,$W$2:$W$501,TRUE),0),0)</f>
        <v>0</v>
      </c>
      <c r="T28" s="6" t="s">
        <v>133</v>
      </c>
      <c r="U28" s="6" t="s">
        <v>134</v>
      </c>
      <c r="V28" s="10" t="b">
        <v>1</v>
      </c>
      <c r="W28" s="10" t="b">
        <v>1</v>
      </c>
      <c r="X28" s="6" t="s">
        <v>36</v>
      </c>
      <c r="Y28" s="6" t="s">
        <v>37</v>
      </c>
      <c r="Z28" s="6"/>
      <c r="AA28" s="14"/>
      <c r="AB28" s="14"/>
    </row>
    <row r="29" spans="1:28">
      <c r="A29" s="6" t="s">
        <v>214</v>
      </c>
      <c r="B29" s="6" t="s">
        <v>91</v>
      </c>
      <c r="C29" s="14" t="s">
        <v>212</v>
      </c>
      <c r="D29" s="6" t="s">
        <v>213</v>
      </c>
      <c r="E29" s="6" t="s">
        <v>213</v>
      </c>
      <c r="F29" s="6"/>
      <c r="G29" s="7">
        <v>17</v>
      </c>
      <c r="H29" s="8">
        <v>80.75</v>
      </c>
      <c r="I29" s="6" t="s">
        <v>48</v>
      </c>
      <c r="J29" s="9"/>
      <c r="K29" s="8">
        <v>80.75</v>
      </c>
      <c r="L29" s="13"/>
      <c r="M29" s="11">
        <f t="shared" si="0"/>
        <v>0</v>
      </c>
      <c r="N29" s="11"/>
      <c r="O29" s="12">
        <f t="shared" si="5"/>
        <v>0</v>
      </c>
      <c r="P29" s="12"/>
      <c r="Q29" s="11"/>
      <c r="R29" s="12"/>
      <c r="S29" s="12">
        <f ca="1">IF(W29=TRUE,IFERROR(N29/SUMIFS($N$2:$N$501,$W$2:$W$501,TRUE),0),0)</f>
        <v>0</v>
      </c>
      <c r="T29" s="6" t="s">
        <v>133</v>
      </c>
      <c r="U29" s="6" t="s">
        <v>134</v>
      </c>
      <c r="V29" s="10" t="b">
        <v>1</v>
      </c>
      <c r="W29" s="10" t="b">
        <v>1</v>
      </c>
      <c r="X29" s="6" t="s">
        <v>36</v>
      </c>
      <c r="Y29" s="6" t="s">
        <v>37</v>
      </c>
      <c r="Z29" s="6"/>
      <c r="AA29" s="14"/>
      <c r="AB29" s="14"/>
    </row>
    <row r="30" spans="1:28">
      <c r="A30" s="6" t="s">
        <v>215</v>
      </c>
      <c r="B30" s="6" t="s">
        <v>29</v>
      </c>
      <c r="C30" s="14" t="s">
        <v>136</v>
      </c>
      <c r="D30" s="6" t="s">
        <v>136</v>
      </c>
      <c r="E30" s="6" t="s">
        <v>136</v>
      </c>
      <c r="F30" s="6"/>
      <c r="G30" s="7">
        <f>260</f>
        <v>260</v>
      </c>
      <c r="H30" s="8">
        <v>637</v>
      </c>
      <c r="I30" s="6" t="s">
        <v>42</v>
      </c>
      <c r="J30" s="9">
        <v>1</v>
      </c>
      <c r="K30" s="8">
        <v>1662</v>
      </c>
      <c r="L30" s="13">
        <f>IF(I30="DKK",1,IFERROR(_xludf.XLOOKUP(I30,FX!$A$2:$A$20,FX!$B$2:$B$20,""),""))</f>
        <v>1</v>
      </c>
      <c r="M30" s="11">
        <f t="shared" si="0"/>
        <v>165620</v>
      </c>
      <c r="N30" s="11">
        <f>IFERROR(G30*K30*L30,"")</f>
        <v>432120</v>
      </c>
      <c r="O30" s="12">
        <f t="shared" si="5"/>
        <v>1.609105180533752</v>
      </c>
      <c r="P30" s="12">
        <f t="shared" si="2"/>
        <v>0</v>
      </c>
      <c r="Q30" s="11">
        <f t="shared" si="3"/>
        <v>266500</v>
      </c>
      <c r="R30" s="12">
        <f t="shared" si="4"/>
        <v>1.609105180533752</v>
      </c>
      <c r="S30" s="12">
        <f ca="1">IF(W30=TRUE,IFERROR(N30/SUMIFS($N$2:$N$501,$W$2:$W$501,TRUE),0),0)</f>
        <v>0.58257720442215077</v>
      </c>
      <c r="T30" s="6" t="s">
        <v>58</v>
      </c>
      <c r="U30" s="6" t="s">
        <v>137</v>
      </c>
      <c r="V30" s="10" t="b">
        <v>0</v>
      </c>
      <c r="W30" s="10" t="b">
        <v>1</v>
      </c>
      <c r="X30" s="6" t="s">
        <v>36</v>
      </c>
      <c r="Y30" s="6" t="s">
        <v>37</v>
      </c>
      <c r="Z30" s="6"/>
      <c r="AA30" s="14"/>
      <c r="AB30" s="14"/>
    </row>
  </sheetData>
  <sheetProtection formatCells="0" formatColumns="0" formatRows="0" insertColumns="0" insertRows="0" insertHyperlinks="0" deleteColumns="0" deleteRows="0" sort="0" autoFilter="0"/>
  <phoneticPr fontId="5" type="noConversion"/>
  <conditionalFormatting sqref="G2:S30">
    <cfRule type="cellIs" dxfId="4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"/>
  <sheetViews>
    <sheetView workbookViewId="0">
      <selection activeCell="A4" sqref="A4"/>
    </sheetView>
  </sheetViews>
  <sheetFormatPr defaultRowHeight="14"/>
  <cols>
    <col min="1" max="1" width="16.75" customWidth="1"/>
    <col min="2" max="2" width="25.25" customWidth="1"/>
    <col min="3" max="3" width="16.9140625" customWidth="1"/>
    <col min="4" max="4" width="21.5" customWidth="1"/>
    <col min="5" max="5" width="33.33203125" customWidth="1"/>
    <col min="6" max="6" width="26.75" bestFit="1" customWidth="1"/>
  </cols>
  <sheetData>
    <row r="1" spans="1:6">
      <c r="A1" s="2" t="s">
        <v>20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27</v>
      </c>
    </row>
    <row r="2" spans="1:6">
      <c r="A2" t="s">
        <v>35</v>
      </c>
      <c r="B2" t="s">
        <v>142</v>
      </c>
      <c r="C2" t="s">
        <v>35</v>
      </c>
      <c r="D2" s="1" t="b">
        <v>1</v>
      </c>
      <c r="E2" s="1" t="b">
        <v>1</v>
      </c>
    </row>
    <row r="3" spans="1:6">
      <c r="A3" t="s">
        <v>134</v>
      </c>
      <c r="B3" t="s">
        <v>134</v>
      </c>
      <c r="C3" t="s">
        <v>134</v>
      </c>
      <c r="D3" s="1" t="b">
        <v>1</v>
      </c>
      <c r="E3" s="1" t="b">
        <v>1</v>
      </c>
    </row>
    <row r="4" spans="1:6">
      <c r="A4" t="s">
        <v>137</v>
      </c>
      <c r="B4" t="s">
        <v>143</v>
      </c>
      <c r="C4" t="s">
        <v>144</v>
      </c>
      <c r="D4" s="1" t="b">
        <v>1</v>
      </c>
      <c r="E4" s="1" t="b">
        <v>0</v>
      </c>
      <c r="F4" t="s">
        <v>145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1"/>
  <sheetViews>
    <sheetView workbookViewId="0">
      <selection activeCell="D33" sqref="D33"/>
    </sheetView>
  </sheetViews>
  <sheetFormatPr defaultRowHeight="14"/>
  <cols>
    <col min="1" max="1" width="29.9140625" customWidth="1"/>
    <col min="2" max="2" width="18" customWidth="1"/>
    <col min="3" max="3" width="17.75" customWidth="1"/>
    <col min="4" max="4" width="32" bestFit="1" customWidth="1"/>
  </cols>
  <sheetData>
    <row r="1" spans="1:4">
      <c r="A1" s="2" t="s">
        <v>146</v>
      </c>
      <c r="B1" s="2" t="s">
        <v>147</v>
      </c>
      <c r="C1" s="2" t="s">
        <v>148</v>
      </c>
      <c r="D1" s="2" t="s">
        <v>149</v>
      </c>
    </row>
    <row r="2" spans="1:4">
      <c r="A2" t="s">
        <v>150</v>
      </c>
      <c r="B2" t="s">
        <v>151</v>
      </c>
      <c r="D2" t="s">
        <v>152</v>
      </c>
    </row>
    <row r="3" spans="1:4">
      <c r="A3" t="s">
        <v>153</v>
      </c>
      <c r="B3" s="5">
        <v>0.02</v>
      </c>
      <c r="C3" t="s">
        <v>154</v>
      </c>
      <c r="D3" t="s">
        <v>155</v>
      </c>
    </row>
    <row r="4" spans="1:4">
      <c r="A4" t="s">
        <v>156</v>
      </c>
      <c r="B4" s="5">
        <v>0.14000000000000001</v>
      </c>
      <c r="C4" t="s">
        <v>154</v>
      </c>
      <c r="D4" t="s">
        <v>157</v>
      </c>
    </row>
    <row r="5" spans="1:4">
      <c r="A5" t="s">
        <v>158</v>
      </c>
      <c r="B5" s="5">
        <v>0.25</v>
      </c>
      <c r="C5" t="s">
        <v>154</v>
      </c>
      <c r="D5" t="s">
        <v>159</v>
      </c>
    </row>
    <row r="6" spans="1:4">
      <c r="A6" t="s">
        <v>160</v>
      </c>
      <c r="B6" s="5">
        <v>0.25</v>
      </c>
      <c r="C6" t="s">
        <v>154</v>
      </c>
      <c r="D6" t="s">
        <v>159</v>
      </c>
    </row>
    <row r="7" spans="1:4">
      <c r="A7" t="s">
        <v>161</v>
      </c>
      <c r="B7" s="5">
        <v>0.2</v>
      </c>
      <c r="C7" t="s">
        <v>154</v>
      </c>
      <c r="D7" t="s">
        <v>159</v>
      </c>
    </row>
    <row r="8" spans="1:4">
      <c r="A8" t="s">
        <v>162</v>
      </c>
      <c r="B8" s="5">
        <v>0.2</v>
      </c>
      <c r="C8" t="s">
        <v>154</v>
      </c>
      <c r="D8" t="s">
        <v>159</v>
      </c>
    </row>
    <row r="9" spans="1:4">
      <c r="A9" t="s">
        <v>163</v>
      </c>
      <c r="B9" s="5">
        <v>0.1</v>
      </c>
      <c r="C9" t="s">
        <v>154</v>
      </c>
      <c r="D9" t="s">
        <v>159</v>
      </c>
    </row>
    <row r="10" spans="1:4">
      <c r="A10" t="s">
        <v>164</v>
      </c>
      <c r="B10" t="s">
        <v>165</v>
      </c>
      <c r="D10" t="s">
        <v>166</v>
      </c>
    </row>
    <row r="11" spans="1:4">
      <c r="A11" t="s">
        <v>167</v>
      </c>
      <c r="B11">
        <v>5</v>
      </c>
      <c r="C11" t="s">
        <v>168</v>
      </c>
      <c r="D11" t="s">
        <v>169</v>
      </c>
    </row>
  </sheetData>
  <conditionalFormatting sqref="B2:B50">
    <cfRule type="cellIs" dxfId="3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9"/>
  <sheetViews>
    <sheetView workbookViewId="0">
      <selection activeCell="F13" sqref="F13"/>
    </sheetView>
  </sheetViews>
  <sheetFormatPr defaultRowHeight="14"/>
  <cols>
    <col min="1" max="1" width="9" bestFit="1" customWidth="1"/>
    <col min="2" max="2" width="19.25" bestFit="1" customWidth="1"/>
    <col min="3" max="3" width="10.08203125" bestFit="1" customWidth="1"/>
    <col min="4" max="4" width="13.75" customWidth="1"/>
    <col min="5" max="5" width="15.58203125" bestFit="1" customWidth="1"/>
    <col min="6" max="6" width="11.75" bestFit="1" customWidth="1"/>
    <col min="7" max="7" width="12" bestFit="1" customWidth="1"/>
  </cols>
  <sheetData>
    <row r="1" spans="1:7">
      <c r="A1" s="2" t="s">
        <v>8</v>
      </c>
      <c r="B1" s="2" t="s">
        <v>11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</row>
    <row r="2" spans="1:7">
      <c r="A2" t="s">
        <v>42</v>
      </c>
      <c r="B2" s="3">
        <v>1</v>
      </c>
      <c r="D2" t="s">
        <v>175</v>
      </c>
      <c r="E2">
        <v>1</v>
      </c>
      <c r="F2" s="1" t="b">
        <v>0</v>
      </c>
      <c r="G2" t="s">
        <v>176</v>
      </c>
    </row>
    <row r="3" spans="1:7">
      <c r="A3" t="s">
        <v>48</v>
      </c>
      <c r="B3" s="3"/>
      <c r="D3" t="s">
        <v>177</v>
      </c>
      <c r="F3" s="1" t="b">
        <v>0</v>
      </c>
      <c r="G3" t="s">
        <v>178</v>
      </c>
    </row>
    <row r="4" spans="1:7">
      <c r="A4" t="s">
        <v>57</v>
      </c>
      <c r="B4" s="3"/>
      <c r="D4" t="s">
        <v>177</v>
      </c>
      <c r="F4" s="1" t="b">
        <v>0</v>
      </c>
      <c r="G4" t="s">
        <v>178</v>
      </c>
    </row>
    <row r="5" spans="1:7">
      <c r="A5" t="s">
        <v>33</v>
      </c>
      <c r="B5" s="3"/>
      <c r="D5" t="s">
        <v>177</v>
      </c>
      <c r="F5" s="1" t="b">
        <v>0</v>
      </c>
      <c r="G5" t="s">
        <v>178</v>
      </c>
    </row>
    <row r="6" spans="1:7">
      <c r="A6" t="s">
        <v>179</v>
      </c>
      <c r="B6" s="3"/>
      <c r="D6" t="s">
        <v>177</v>
      </c>
      <c r="F6" s="1" t="b">
        <v>0</v>
      </c>
      <c r="G6" t="s">
        <v>178</v>
      </c>
    </row>
    <row r="7" spans="1:7">
      <c r="A7" t="s">
        <v>180</v>
      </c>
      <c r="B7" s="3"/>
      <c r="D7" t="s">
        <v>177</v>
      </c>
      <c r="F7" s="1" t="b">
        <v>0</v>
      </c>
      <c r="G7" t="s">
        <v>178</v>
      </c>
    </row>
    <row r="8" spans="1:7">
      <c r="A8" t="s">
        <v>181</v>
      </c>
      <c r="B8" s="3"/>
      <c r="D8" t="s">
        <v>177</v>
      </c>
      <c r="F8" s="1" t="b">
        <v>0</v>
      </c>
      <c r="G8" t="s">
        <v>178</v>
      </c>
    </row>
    <row r="9" spans="1:7">
      <c r="A9" t="s">
        <v>182</v>
      </c>
      <c r="B9" s="3"/>
      <c r="D9" t="s">
        <v>177</v>
      </c>
      <c r="F9" s="1" t="b">
        <v>0</v>
      </c>
      <c r="G9" t="s">
        <v>178</v>
      </c>
    </row>
  </sheetData>
  <conditionalFormatting sqref="B2:E20">
    <cfRule type="cellIs" dxfId="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3" tint="0.749992370372631"/>
  </sheetPr>
  <dimension ref="A1:F32"/>
  <sheetViews>
    <sheetView workbookViewId="0">
      <selection activeCell="D5" sqref="D5:F5"/>
    </sheetView>
  </sheetViews>
  <sheetFormatPr defaultRowHeight="14"/>
  <cols>
    <col min="1" max="1" width="19.75" customWidth="1"/>
    <col min="2" max="2" width="23.75" customWidth="1"/>
    <col min="3" max="3" width="17.08203125" customWidth="1"/>
    <col min="4" max="4" width="9" bestFit="1" customWidth="1"/>
    <col min="5" max="5" width="19.33203125" customWidth="1"/>
    <col min="6" max="6" width="17.75" bestFit="1" customWidth="1"/>
  </cols>
  <sheetData>
    <row r="1" spans="1:6">
      <c r="A1" s="2" t="s">
        <v>3</v>
      </c>
      <c r="B1" s="2" t="s">
        <v>4</v>
      </c>
      <c r="C1" s="2" t="s">
        <v>183</v>
      </c>
      <c r="D1" s="2" t="s">
        <v>8</v>
      </c>
      <c r="E1" s="2" t="s">
        <v>184</v>
      </c>
      <c r="F1" s="2" t="s">
        <v>185</v>
      </c>
    </row>
    <row r="2" spans="1:6">
      <c r="A2" t="s">
        <v>31</v>
      </c>
      <c r="B2" t="s">
        <v>32</v>
      </c>
      <c r="C2" t="s">
        <v>186</v>
      </c>
      <c r="D2" t="s">
        <v>33</v>
      </c>
      <c r="E2" t="s">
        <v>187</v>
      </c>
      <c r="F2" t="s">
        <v>176</v>
      </c>
    </row>
    <row r="3" spans="1:6">
      <c r="A3" t="s">
        <v>40</v>
      </c>
      <c r="B3" t="s">
        <v>41</v>
      </c>
      <c r="C3" t="s">
        <v>188</v>
      </c>
      <c r="D3" t="s">
        <v>42</v>
      </c>
      <c r="E3" t="s">
        <v>187</v>
      </c>
      <c r="F3" t="s">
        <v>176</v>
      </c>
    </row>
    <row r="4" spans="1:6">
      <c r="A4" t="s">
        <v>46</v>
      </c>
      <c r="B4" t="s">
        <v>47</v>
      </c>
      <c r="C4" t="s">
        <v>189</v>
      </c>
      <c r="D4" t="s">
        <v>48</v>
      </c>
      <c r="E4" t="s">
        <v>187</v>
      </c>
      <c r="F4" t="s">
        <v>176</v>
      </c>
    </row>
    <row r="5" spans="1:6">
      <c r="A5" t="s">
        <v>217</v>
      </c>
      <c r="B5" t="s">
        <v>218</v>
      </c>
      <c r="C5" t="s">
        <v>219</v>
      </c>
      <c r="D5" t="s">
        <v>48</v>
      </c>
      <c r="E5" t="s">
        <v>187</v>
      </c>
      <c r="F5" t="s">
        <v>176</v>
      </c>
    </row>
    <row r="6" spans="1:6">
      <c r="A6" t="s">
        <v>210</v>
      </c>
      <c r="B6" t="s">
        <v>208</v>
      </c>
      <c r="C6" t="s">
        <v>191</v>
      </c>
      <c r="D6" t="s">
        <v>57</v>
      </c>
      <c r="E6" t="s">
        <v>187</v>
      </c>
      <c r="F6" t="s">
        <v>176</v>
      </c>
    </row>
    <row r="7" spans="1:6">
      <c r="A7" t="s">
        <v>52</v>
      </c>
      <c r="B7" t="s">
        <v>53</v>
      </c>
      <c r="C7" t="s">
        <v>188</v>
      </c>
      <c r="D7" t="s">
        <v>42</v>
      </c>
      <c r="E7" t="s">
        <v>187</v>
      </c>
      <c r="F7" t="s">
        <v>176</v>
      </c>
    </row>
    <row r="8" spans="1:6">
      <c r="A8" t="s">
        <v>56</v>
      </c>
      <c r="B8" t="s">
        <v>56</v>
      </c>
      <c r="D8" t="s">
        <v>57</v>
      </c>
      <c r="E8" t="s">
        <v>187</v>
      </c>
      <c r="F8" t="s">
        <v>176</v>
      </c>
    </row>
    <row r="9" spans="1:6">
      <c r="A9" t="s">
        <v>61</v>
      </c>
      <c r="B9" t="s">
        <v>62</v>
      </c>
      <c r="C9" t="s">
        <v>190</v>
      </c>
      <c r="D9" t="s">
        <v>48</v>
      </c>
      <c r="E9" t="s">
        <v>187</v>
      </c>
      <c r="F9" t="s">
        <v>176</v>
      </c>
    </row>
    <row r="10" spans="1:6">
      <c r="A10" t="s">
        <v>65</v>
      </c>
      <c r="B10" t="s">
        <v>65</v>
      </c>
      <c r="D10" t="s">
        <v>42</v>
      </c>
      <c r="E10" t="s">
        <v>187</v>
      </c>
      <c r="F10" t="s">
        <v>176</v>
      </c>
    </row>
    <row r="11" spans="1:6">
      <c r="A11" t="s">
        <v>68</v>
      </c>
      <c r="B11" t="s">
        <v>68</v>
      </c>
      <c r="D11" t="s">
        <v>42</v>
      </c>
      <c r="E11" t="s">
        <v>187</v>
      </c>
      <c r="F11" t="s">
        <v>176</v>
      </c>
    </row>
    <row r="12" spans="1:6">
      <c r="A12" t="s">
        <v>72</v>
      </c>
      <c r="B12" t="s">
        <v>73</v>
      </c>
      <c r="C12" t="s">
        <v>188</v>
      </c>
      <c r="D12" t="s">
        <v>42</v>
      </c>
      <c r="E12" t="s">
        <v>187</v>
      </c>
      <c r="F12" t="s">
        <v>176</v>
      </c>
    </row>
    <row r="13" spans="1:6">
      <c r="A13" t="s">
        <v>203</v>
      </c>
      <c r="B13" t="s">
        <v>202</v>
      </c>
      <c r="C13" t="s">
        <v>190</v>
      </c>
      <c r="D13" t="s">
        <v>48</v>
      </c>
      <c r="E13" t="s">
        <v>187</v>
      </c>
      <c r="F13" t="s">
        <v>176</v>
      </c>
    </row>
    <row r="14" spans="1:6">
      <c r="A14" t="s">
        <v>77</v>
      </c>
      <c r="B14" t="s">
        <v>78</v>
      </c>
      <c r="C14" t="s">
        <v>190</v>
      </c>
      <c r="D14" t="s">
        <v>48</v>
      </c>
      <c r="E14" t="s">
        <v>187</v>
      </c>
      <c r="F14" t="s">
        <v>176</v>
      </c>
    </row>
    <row r="15" spans="1:6">
      <c r="A15" t="s">
        <v>81</v>
      </c>
      <c r="B15" t="s">
        <v>82</v>
      </c>
      <c r="C15" t="s">
        <v>191</v>
      </c>
      <c r="D15" t="s">
        <v>57</v>
      </c>
      <c r="E15" t="s">
        <v>187</v>
      </c>
      <c r="F15" t="s">
        <v>176</v>
      </c>
    </row>
    <row r="16" spans="1:6">
      <c r="A16" t="s">
        <v>83</v>
      </c>
      <c r="B16" t="s">
        <v>84</v>
      </c>
      <c r="C16" t="s">
        <v>190</v>
      </c>
      <c r="D16" t="s">
        <v>48</v>
      </c>
      <c r="E16" t="s">
        <v>187</v>
      </c>
      <c r="F16" t="s">
        <v>176</v>
      </c>
    </row>
    <row r="17" spans="1:6">
      <c r="A17" t="s">
        <v>87</v>
      </c>
      <c r="B17" t="s">
        <v>88</v>
      </c>
      <c r="C17" t="s">
        <v>188</v>
      </c>
      <c r="D17" t="s">
        <v>42</v>
      </c>
      <c r="E17" t="s">
        <v>187</v>
      </c>
      <c r="F17" t="s">
        <v>176</v>
      </c>
    </row>
    <row r="18" spans="1:6">
      <c r="A18" t="s">
        <v>204</v>
      </c>
      <c r="B18" t="s">
        <v>204</v>
      </c>
      <c r="C18" t="s">
        <v>190</v>
      </c>
      <c r="D18" t="s">
        <v>48</v>
      </c>
      <c r="E18" t="s">
        <v>187</v>
      </c>
      <c r="F18" t="s">
        <v>176</v>
      </c>
    </row>
    <row r="19" spans="1:6">
      <c r="A19" t="s">
        <v>97</v>
      </c>
      <c r="B19" t="s">
        <v>97</v>
      </c>
      <c r="D19" t="s">
        <v>48</v>
      </c>
      <c r="E19" t="s">
        <v>187</v>
      </c>
      <c r="F19" t="s">
        <v>176</v>
      </c>
    </row>
    <row r="20" spans="1:6">
      <c r="A20" t="s">
        <v>200</v>
      </c>
      <c r="B20" t="s">
        <v>201</v>
      </c>
      <c r="D20" t="s">
        <v>48</v>
      </c>
      <c r="E20" t="s">
        <v>187</v>
      </c>
      <c r="F20" t="s">
        <v>176</v>
      </c>
    </row>
    <row r="21" spans="1:6">
      <c r="A21" t="s">
        <v>103</v>
      </c>
      <c r="B21" t="s">
        <v>103</v>
      </c>
      <c r="D21" t="s">
        <v>48</v>
      </c>
      <c r="E21" t="s">
        <v>187</v>
      </c>
      <c r="F21" t="s">
        <v>176</v>
      </c>
    </row>
    <row r="22" spans="1:6">
      <c r="A22" t="s">
        <v>100</v>
      </c>
      <c r="B22" t="s">
        <v>100</v>
      </c>
      <c r="D22" t="s">
        <v>48</v>
      </c>
      <c r="E22" t="s">
        <v>187</v>
      </c>
      <c r="F22" t="s">
        <v>176</v>
      </c>
    </row>
    <row r="23" spans="1:6">
      <c r="A23" t="s">
        <v>106</v>
      </c>
      <c r="B23" t="s">
        <v>106</v>
      </c>
      <c r="D23" t="s">
        <v>48</v>
      </c>
      <c r="E23" t="s">
        <v>187</v>
      </c>
      <c r="F23" t="s">
        <v>176</v>
      </c>
    </row>
    <row r="24" spans="1:6">
      <c r="A24" t="s">
        <v>110</v>
      </c>
      <c r="B24" t="s">
        <v>110</v>
      </c>
      <c r="D24" t="s">
        <v>48</v>
      </c>
      <c r="E24" t="s">
        <v>187</v>
      </c>
      <c r="F24" t="s">
        <v>176</v>
      </c>
    </row>
    <row r="25" spans="1:6">
      <c r="A25" t="s">
        <v>114</v>
      </c>
      <c r="B25" t="s">
        <v>114</v>
      </c>
      <c r="D25" t="s">
        <v>48</v>
      </c>
      <c r="E25" t="s">
        <v>187</v>
      </c>
      <c r="F25" t="s">
        <v>176</v>
      </c>
    </row>
    <row r="26" spans="1:6">
      <c r="A26" t="s">
        <v>118</v>
      </c>
      <c r="B26" t="s">
        <v>118</v>
      </c>
      <c r="D26" t="s">
        <v>48</v>
      </c>
      <c r="E26" t="s">
        <v>187</v>
      </c>
      <c r="F26" t="s">
        <v>176</v>
      </c>
    </row>
    <row r="27" spans="1:6">
      <c r="A27" t="s">
        <v>121</v>
      </c>
      <c r="B27" t="s">
        <v>121</v>
      </c>
      <c r="D27" t="s">
        <v>48</v>
      </c>
      <c r="E27" t="s">
        <v>187</v>
      </c>
      <c r="F27" t="s">
        <v>176</v>
      </c>
    </row>
    <row r="28" spans="1:6">
      <c r="A28" t="s">
        <v>124</v>
      </c>
      <c r="B28" t="s">
        <v>124</v>
      </c>
      <c r="D28" t="s">
        <v>48</v>
      </c>
      <c r="E28" t="s">
        <v>187</v>
      </c>
      <c r="F28" t="s">
        <v>176</v>
      </c>
    </row>
    <row r="29" spans="1:6">
      <c r="A29" t="s">
        <v>127</v>
      </c>
      <c r="B29" t="s">
        <v>127</v>
      </c>
      <c r="D29" t="s">
        <v>48</v>
      </c>
      <c r="E29" t="s">
        <v>187</v>
      </c>
      <c r="F29" t="s">
        <v>176</v>
      </c>
    </row>
    <row r="30" spans="1:6">
      <c r="A30" t="s">
        <v>132</v>
      </c>
      <c r="B30" t="s">
        <v>132</v>
      </c>
      <c r="D30" t="s">
        <v>48</v>
      </c>
      <c r="E30" t="s">
        <v>187</v>
      </c>
      <c r="F30" t="s">
        <v>176</v>
      </c>
    </row>
    <row r="31" spans="1:6">
      <c r="A31" t="s">
        <v>213</v>
      </c>
      <c r="B31" t="s">
        <v>213</v>
      </c>
      <c r="D31" t="s">
        <v>48</v>
      </c>
      <c r="E31" t="s">
        <v>187</v>
      </c>
      <c r="F31" t="s">
        <v>176</v>
      </c>
    </row>
    <row r="32" spans="1:6">
      <c r="A32" t="s">
        <v>136</v>
      </c>
      <c r="B32" t="s">
        <v>136</v>
      </c>
      <c r="D32" t="s">
        <v>42</v>
      </c>
      <c r="E32" t="s">
        <v>187</v>
      </c>
      <c r="F32" t="s">
        <v>176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2"/>
  <sheetViews>
    <sheetView workbookViewId="0">
      <selection activeCell="F15" sqref="F15"/>
    </sheetView>
  </sheetViews>
  <sheetFormatPr defaultRowHeight="14"/>
  <cols>
    <col min="1" max="1" width="13.6640625" customWidth="1"/>
    <col min="2" max="2" width="8.5" customWidth="1"/>
    <col min="3" max="3" width="13.25" bestFit="1" customWidth="1"/>
    <col min="4" max="4" width="9" bestFit="1" customWidth="1"/>
    <col min="5" max="5" width="12.75" customWidth="1"/>
    <col min="6" max="6" width="13.25" customWidth="1"/>
    <col min="7" max="8" width="12.1640625" customWidth="1"/>
    <col min="9" max="9" width="13.83203125" bestFit="1" customWidth="1"/>
    <col min="10" max="10" width="40.1640625" customWidth="1"/>
  </cols>
  <sheetData>
    <row r="1" spans="1:10">
      <c r="A1" s="2" t="s">
        <v>2</v>
      </c>
      <c r="B1" s="2" t="s">
        <v>3</v>
      </c>
      <c r="C1" s="2" t="s">
        <v>4</v>
      </c>
      <c r="D1" s="2" t="s">
        <v>8</v>
      </c>
      <c r="E1" s="2" t="s">
        <v>19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27</v>
      </c>
    </row>
    <row r="2" spans="1:10">
      <c r="A2" t="s">
        <v>205</v>
      </c>
      <c r="B2" t="s">
        <v>206</v>
      </c>
      <c r="C2" t="s">
        <v>207</v>
      </c>
      <c r="D2" t="s">
        <v>48</v>
      </c>
      <c r="E2" t="s">
        <v>49</v>
      </c>
      <c r="I2">
        <v>94</v>
      </c>
      <c r="J2" t="s">
        <v>209</v>
      </c>
    </row>
  </sheetData>
  <conditionalFormatting sqref="G2:I200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"/>
  <sheetViews>
    <sheetView tabSelected="1" workbookViewId="0">
      <selection activeCell="C3" sqref="C3"/>
    </sheetView>
  </sheetViews>
  <sheetFormatPr defaultRowHeight="14"/>
  <cols>
    <col min="1" max="1" width="11.4140625" customWidth="1"/>
    <col min="2" max="2" width="11.25" customWidth="1"/>
    <col min="3" max="3" width="12.5" customWidth="1"/>
    <col min="4" max="5" width="15.5" customWidth="1"/>
    <col min="6" max="6" width="18.4140625" customWidth="1"/>
    <col min="7" max="7" width="22.83203125" bestFit="1" customWidth="1"/>
  </cols>
  <sheetData>
    <row r="1" spans="1:7">
      <c r="A1" s="2" t="s">
        <v>20</v>
      </c>
      <c r="B1" s="2" t="s">
        <v>8</v>
      </c>
      <c r="C1" s="2" t="s">
        <v>196</v>
      </c>
      <c r="D1" s="2" t="s">
        <v>197</v>
      </c>
      <c r="E1" s="2" t="s">
        <v>198</v>
      </c>
      <c r="F1" s="2" t="s">
        <v>140</v>
      </c>
      <c r="G1" s="2" t="s">
        <v>141</v>
      </c>
    </row>
    <row r="2" spans="1:7">
      <c r="A2" t="s">
        <v>35</v>
      </c>
      <c r="B2" t="s">
        <v>42</v>
      </c>
      <c r="C2" s="4">
        <v>121657</v>
      </c>
      <c r="D2" s="4">
        <v>1</v>
      </c>
      <c r="E2" s="4">
        <f>C2*D2</f>
        <v>121657</v>
      </c>
      <c r="F2" s="1" t="b">
        <v>1</v>
      </c>
      <c r="G2" s="1" t="b">
        <v>1</v>
      </c>
    </row>
  </sheetData>
  <conditionalFormatting sqref="C2:E50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</vt:lpstr>
      <vt:lpstr>Accounts</vt:lpstr>
      <vt:lpstr>Settings</vt:lpstr>
      <vt:lpstr>FX</vt:lpstr>
      <vt:lpstr>Ticker_Map</vt:lpstr>
      <vt:lpstr>Watchlist</vt:lpstr>
      <vt:lpstr>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2026-08-03T17:04:55Z</dcterms:created>
  <dcterms:modified xsi:type="dcterms:W3CDTF">2026-10-29T19:42:40Z</dcterms:modified>
</cp:coreProperties>
</file>