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55CF7B74-21B8-4229-91E9-40A82FA9C7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2" i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5" i="1"/>
  <c r="M15" i="1"/>
  <c r="L15" i="1"/>
  <c r="P15" i="1" s="1"/>
  <c r="O14" i="1"/>
  <c r="M14" i="1"/>
  <c r="L14" i="1"/>
  <c r="N14" i="1" s="1"/>
  <c r="O13" i="1"/>
  <c r="M13" i="1"/>
  <c r="L13" i="1"/>
  <c r="N13" i="1" s="1"/>
  <c r="O12" i="1"/>
  <c r="M12" i="1"/>
  <c r="L12" i="1"/>
  <c r="N12" i="1" s="1"/>
  <c r="O11" i="1"/>
  <c r="M11" i="1"/>
  <c r="L11" i="1"/>
  <c r="P11" i="1" s="1"/>
  <c r="O10" i="1"/>
  <c r="M10" i="1"/>
  <c r="L10" i="1"/>
  <c r="P10" i="1" s="1"/>
  <c r="O9" i="1"/>
  <c r="N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3" i="1" l="1"/>
  <c r="R3" i="1" s="1"/>
  <c r="P8" i="1"/>
  <c r="N10" i="1"/>
  <c r="P13" i="1"/>
  <c r="Q10" i="1"/>
  <c r="Q3" i="1"/>
  <c r="N2" i="1"/>
  <c r="R2" i="1" s="1"/>
  <c r="N18" i="1"/>
  <c r="R18" i="1" s="1"/>
  <c r="P7" i="1"/>
  <c r="P14" i="1"/>
  <c r="N15" i="1"/>
  <c r="R15" i="1" s="1"/>
  <c r="R28" i="1"/>
  <c r="Q28" i="1"/>
  <c r="R7" i="1"/>
  <c r="Q7" i="1"/>
  <c r="R8" i="1"/>
  <c r="Q8" i="1"/>
  <c r="R13" i="1"/>
  <c r="Q13" i="1"/>
  <c r="R14" i="1"/>
  <c r="Q14" i="1"/>
  <c r="R4" i="1"/>
  <c r="Q4" i="1"/>
  <c r="R12" i="1"/>
  <c r="Q12" i="1"/>
  <c r="R19" i="1"/>
  <c r="Q19" i="1"/>
  <c r="R5" i="1"/>
  <c r="Q5" i="1"/>
  <c r="P5" i="1"/>
  <c r="R10" i="1"/>
  <c r="P12" i="1"/>
  <c r="P19" i="1"/>
  <c r="N21" i="1"/>
  <c r="P28" i="1"/>
  <c r="N23" i="1"/>
  <c r="N25" i="1"/>
  <c r="Q9" i="1"/>
  <c r="N11" i="1"/>
  <c r="N27" i="1"/>
  <c r="P4" i="1"/>
  <c r="N6" i="1"/>
  <c r="R9" i="1"/>
  <c r="N20" i="1"/>
  <c r="N29" i="1"/>
  <c r="N22" i="1"/>
  <c r="N17" i="1"/>
  <c r="N24" i="1"/>
  <c r="N26" i="1"/>
  <c r="S14" i="1" l="1"/>
  <c r="S8" i="1"/>
  <c r="Q18" i="1"/>
  <c r="Q2" i="1"/>
  <c r="S29" i="1"/>
  <c r="Q15" i="1"/>
  <c r="S13" i="1"/>
  <c r="S3" i="1"/>
  <c r="R29" i="1"/>
  <c r="Q29" i="1"/>
  <c r="S15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<sst xmlns="http://schemas.openxmlformats.org/spreadsheetml/2006/main" count="567" uniqueCount="211">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</sst>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topLeftCell="J1" zoomScale="80" zoomScaleNormal="80" workbookViewId="0">
      <selection activeCell="D16" sqref="D16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15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29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9.5135023706452326E-2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87</v>
      </c>
      <c r="D13" s="6" t="s">
        <v>88</v>
      </c>
      <c r="E13" s="6" t="s">
        <v>89</v>
      </c>
      <c r="F13" s="6"/>
      <c r="G13" s="7">
        <v>108</v>
      </c>
      <c r="H13" s="8">
        <v>145.84</v>
      </c>
      <c r="I13" s="6" t="s">
        <v>42</v>
      </c>
      <c r="J13" s="9">
        <v>1</v>
      </c>
      <c r="K13" s="8">
        <v>176.55</v>
      </c>
      <c r="L13" s="13">
        <f>IF(I13="DKK",1,IFERROR(_xludf.XLOOKUP(I13,FX!$A$2:$A$20,FX!$B$2:$B$20,""),""))</f>
        <v>1</v>
      </c>
      <c r="M13" s="11">
        <f t="shared" si="0"/>
        <v>15750.720000000001</v>
      </c>
      <c r="N13" s="11">
        <f t="shared" si="1"/>
        <v>19067.400000000001</v>
      </c>
      <c r="O13" s="12">
        <f t="shared" si="6"/>
        <v>0.21057323093801439</v>
      </c>
      <c r="P13" s="12">
        <f t="shared" si="2"/>
        <v>0</v>
      </c>
      <c r="Q13" s="11">
        <f t="shared" si="3"/>
        <v>3316.6800000000003</v>
      </c>
      <c r="R13" s="12">
        <f t="shared" si="4"/>
        <v>0.21057323093801417</v>
      </c>
      <c r="S13" s="12">
        <f t="shared" ca="1" si="5"/>
        <v>2.6103956377037982E-2</v>
      </c>
      <c r="T13" s="6" t="s">
        <v>90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92</v>
      </c>
      <c r="C14" s="14" t="s">
        <v>93</v>
      </c>
      <c r="D14" s="6" t="s">
        <v>94</v>
      </c>
      <c r="E14" s="6" t="s">
        <v>94</v>
      </c>
      <c r="F14" s="6"/>
      <c r="G14" s="7">
        <v>37</v>
      </c>
      <c r="H14" s="8">
        <v>58.79</v>
      </c>
      <c r="I14" s="6" t="s">
        <v>57</v>
      </c>
      <c r="J14" s="9"/>
      <c r="K14" s="8">
        <v>58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-1.3437659465895591E-2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95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 t="s">
        <v>96</v>
      </c>
      <c r="AB14" s="14"/>
    </row>
    <row r="15" spans="1:28">
      <c r="A15" s="6" t="s">
        <v>91</v>
      </c>
      <c r="B15" s="6" t="s">
        <v>92</v>
      </c>
      <c r="C15" s="14" t="s">
        <v>98</v>
      </c>
      <c r="D15" s="6" t="s">
        <v>99</v>
      </c>
      <c r="E15" s="6" t="s">
        <v>99</v>
      </c>
      <c r="F15" s="6"/>
      <c r="G15" s="7">
        <v>74</v>
      </c>
      <c r="H15" s="8">
        <v>44.308</v>
      </c>
      <c r="I15" s="6" t="s">
        <v>48</v>
      </c>
      <c r="J15" s="9"/>
      <c r="K15" s="8">
        <v>48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8.3325810237429021E-2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34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97</v>
      </c>
      <c r="B16" s="6" t="s">
        <v>92</v>
      </c>
      <c r="C16" s="14" t="s">
        <v>208</v>
      </c>
      <c r="D16" s="6" t="s">
        <v>209</v>
      </c>
      <c r="E16" s="6" t="s">
        <v>210</v>
      </c>
      <c r="F16" s="6"/>
      <c r="G16" s="7">
        <v>17</v>
      </c>
      <c r="H16" s="8">
        <v>78.83</v>
      </c>
      <c r="I16" s="6" t="s">
        <v>48</v>
      </c>
      <c r="J16" s="9"/>
      <c r="K16" s="8">
        <v>79</v>
      </c>
      <c r="L16" s="13"/>
      <c r="M16" s="11"/>
      <c r="N16" s="11"/>
      <c r="O16" s="12">
        <f t="shared" si="6"/>
        <v>2.1565393885576434E-3</v>
      </c>
      <c r="P16" s="12"/>
      <c r="Q16" s="11"/>
      <c r="R16" s="12"/>
      <c r="S16" s="12"/>
      <c r="T16" s="6" t="s">
        <v>139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101</v>
      </c>
      <c r="D17" s="6" t="s">
        <v>102</v>
      </c>
      <c r="E17" s="6" t="s">
        <v>102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-0.20580110497237569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ref="S17:S29" ca="1" si="7">IF(W17=TRUE,IFERROR(N17/SUMIFS($N$2:$N$500,$W$2:$W$500,TRUE),0),0)</f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104</v>
      </c>
      <c r="D18" s="6" t="s">
        <v>105</v>
      </c>
      <c r="E18" s="6" t="s">
        <v>105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7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107</v>
      </c>
      <c r="D19" s="6" t="s">
        <v>108</v>
      </c>
      <c r="E19" s="6" t="s">
        <v>108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7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110</v>
      </c>
      <c r="D20" s="6" t="s">
        <v>111</v>
      </c>
      <c r="E20" s="6" t="s">
        <v>111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105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-8.0230205240059971E-2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7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113</v>
      </c>
      <c r="D21" s="6" t="s">
        <v>114</v>
      </c>
      <c r="E21" s="6" t="s">
        <v>114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7"/>
        <v>0</v>
      </c>
      <c r="T21" s="6" t="s">
        <v>115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117</v>
      </c>
      <c r="D22" s="6" t="s">
        <v>118</v>
      </c>
      <c r="E22" s="6" t="s">
        <v>118</v>
      </c>
      <c r="F22" s="6"/>
      <c r="G22" s="7">
        <v>44</v>
      </c>
      <c r="H22" s="8">
        <v>56.9</v>
      </c>
      <c r="I22" s="6" t="s">
        <v>48</v>
      </c>
      <c r="J22" s="9"/>
      <c r="K22" s="8">
        <v>56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-1.5817223198594021E-2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7"/>
        <v>0</v>
      </c>
      <c r="T22" s="6" t="s">
        <v>119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121</v>
      </c>
      <c r="D23" s="6" t="s">
        <v>122</v>
      </c>
      <c r="E23" s="6" t="s">
        <v>122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-7.049907049907056E-2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7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124</v>
      </c>
      <c r="D24" s="6" t="s">
        <v>125</v>
      </c>
      <c r="E24" s="6" t="s">
        <v>125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-0.27684705315174163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7"/>
        <v>0</v>
      </c>
      <c r="T24" s="6" t="s">
        <v>95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127</v>
      </c>
      <c r="D25" s="6" t="s">
        <v>128</v>
      </c>
      <c r="E25" s="6" t="s">
        <v>128</v>
      </c>
      <c r="F25" s="6"/>
      <c r="G25" s="7">
        <v>46</v>
      </c>
      <c r="H25" s="8">
        <v>55.45</v>
      </c>
      <c r="I25" s="6" t="s">
        <v>48</v>
      </c>
      <c r="J25" s="9"/>
      <c r="K25" s="8">
        <v>54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-2.6149684400360695E-2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7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130</v>
      </c>
      <c r="D26" s="6" t="s">
        <v>131</v>
      </c>
      <c r="E26" s="6" t="s">
        <v>131</v>
      </c>
      <c r="F26" s="6"/>
      <c r="G26" s="7">
        <v>15</v>
      </c>
      <c r="H26" s="8">
        <v>95.08</v>
      </c>
      <c r="I26" s="6" t="s">
        <v>48</v>
      </c>
      <c r="J26" s="9"/>
      <c r="K26" s="8">
        <v>75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-0.2111905763567522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7"/>
        <v>0</v>
      </c>
      <c r="T26" s="6" t="s">
        <v>132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134</v>
      </c>
      <c r="D27" s="6" t="s">
        <v>135</v>
      </c>
      <c r="E27" s="6" t="s">
        <v>135</v>
      </c>
      <c r="F27" s="6"/>
      <c r="G27" s="7">
        <v>17</v>
      </c>
      <c r="H27" s="8">
        <v>77.56</v>
      </c>
      <c r="I27" s="6" t="s">
        <v>48</v>
      </c>
      <c r="J27" s="9"/>
      <c r="K27" s="8">
        <v>78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5.6730273336771386E-3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7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137</v>
      </c>
      <c r="D28" s="6" t="s">
        <v>138</v>
      </c>
      <c r="E28" s="6" t="s">
        <v>138</v>
      </c>
      <c r="F28" s="6"/>
      <c r="G28" s="7">
        <v>18</v>
      </c>
      <c r="H28" s="8">
        <v>159</v>
      </c>
      <c r="I28" s="6" t="s">
        <v>48</v>
      </c>
      <c r="J28" s="9"/>
      <c r="K28" s="8">
        <v>168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5.6603773584905648E-2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7"/>
        <v>0</v>
      </c>
      <c r="T28" s="6" t="s">
        <v>139</v>
      </c>
      <c r="U28" s="6" t="s">
        <v>140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29</v>
      </c>
      <c r="C29" s="14" t="s">
        <v>142</v>
      </c>
      <c r="D29" s="6" t="s">
        <v>142</v>
      </c>
      <c r="E29" s="6" t="s">
        <v>142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7"/>
        <v>0.5915878216036613</v>
      </c>
      <c r="T29" s="6" t="s">
        <v>58</v>
      </c>
      <c r="U29" s="6" t="s">
        <v>143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0.25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77</v>
      </c>
      <c r="B11" t="s">
        <v>78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81</v>
      </c>
      <c r="B12" t="s">
        <v>82</v>
      </c>
      <c r="C12" t="s">
        <v>197</v>
      </c>
      <c r="D12" t="s">
        <v>57</v>
      </c>
      <c r="E12" t="s">
        <v>193</v>
      </c>
      <c r="F12" t="s">
        <v>182</v>
      </c>
    </row>
    <row r="13" spans="1:6">
      <c r="A13" t="s">
        <v>84</v>
      </c>
      <c r="B13" t="s">
        <v>85</v>
      </c>
      <c r="C13" t="s">
        <v>196</v>
      </c>
      <c r="D13" t="s">
        <v>48</v>
      </c>
      <c r="E13" t="s">
        <v>193</v>
      </c>
      <c r="F13" t="s">
        <v>182</v>
      </c>
    </row>
    <row r="14" spans="1:6">
      <c r="A14" t="s">
        <v>88</v>
      </c>
      <c r="B14" t="s">
        <v>89</v>
      </c>
      <c r="C14" t="s">
        <v>194</v>
      </c>
      <c r="D14" t="s">
        <v>42</v>
      </c>
      <c r="E14" t="s">
        <v>193</v>
      </c>
      <c r="F14" t="s">
        <v>182</v>
      </c>
    </row>
    <row r="15" spans="1:6">
      <c r="A15" t="s">
        <v>94</v>
      </c>
      <c r="B15" t="s">
        <v>94</v>
      </c>
      <c r="C15" t="s">
        <v>198</v>
      </c>
      <c r="D15" t="s">
        <v>57</v>
      </c>
      <c r="E15" t="s">
        <v>193</v>
      </c>
      <c r="F15" t="s">
        <v>199</v>
      </c>
    </row>
    <row r="16" spans="1:6">
      <c r="A16" t="s">
        <v>99</v>
      </c>
      <c r="B16" t="s">
        <v>99</v>
      </c>
      <c r="D16" t="s">
        <v>48</v>
      </c>
      <c r="E16" t="s">
        <v>193</v>
      </c>
      <c r="F16" t="s">
        <v>182</v>
      </c>
    </row>
    <row r="17" spans="1:6">
      <c r="A17" t="s">
        <v>102</v>
      </c>
      <c r="B17" t="s">
        <v>102</v>
      </c>
      <c r="D17" t="s">
        <v>48</v>
      </c>
      <c r="E17" t="s">
        <v>193</v>
      </c>
      <c r="F17" t="s">
        <v>182</v>
      </c>
    </row>
    <row r="18" spans="1:6">
      <c r="A18" t="s">
        <v>105</v>
      </c>
      <c r="B18" t="s">
        <v>105</v>
      </c>
      <c r="D18" t="s">
        <v>48</v>
      </c>
      <c r="E18" t="s">
        <v>193</v>
      </c>
      <c r="F18" t="s">
        <v>182</v>
      </c>
    </row>
    <row r="19" spans="1:6">
      <c r="A19" t="s">
        <v>108</v>
      </c>
      <c r="B19" t="s">
        <v>108</v>
      </c>
      <c r="D19" t="s">
        <v>48</v>
      </c>
      <c r="E19" t="s">
        <v>193</v>
      </c>
      <c r="F19" t="s">
        <v>182</v>
      </c>
    </row>
    <row r="20" spans="1:6">
      <c r="A20" t="s">
        <v>111</v>
      </c>
      <c r="B20" t="s">
        <v>111</v>
      </c>
      <c r="D20" t="s">
        <v>48</v>
      </c>
      <c r="E20" t="s">
        <v>193</v>
      </c>
      <c r="F20" t="s">
        <v>182</v>
      </c>
    </row>
    <row r="21" spans="1:6">
      <c r="A21" t="s">
        <v>114</v>
      </c>
      <c r="B21" t="s">
        <v>114</v>
      </c>
      <c r="D21" t="s">
        <v>48</v>
      </c>
      <c r="E21" t="s">
        <v>193</v>
      </c>
      <c r="F21" t="s">
        <v>182</v>
      </c>
    </row>
    <row r="22" spans="1:6">
      <c r="A22" t="s">
        <v>118</v>
      </c>
      <c r="B22" t="s">
        <v>118</v>
      </c>
      <c r="D22" t="s">
        <v>48</v>
      </c>
      <c r="E22" t="s">
        <v>193</v>
      </c>
      <c r="F22" t="s">
        <v>182</v>
      </c>
    </row>
    <row r="23" spans="1:6">
      <c r="A23" t="s">
        <v>122</v>
      </c>
      <c r="B23" t="s">
        <v>122</v>
      </c>
      <c r="D23" t="s">
        <v>48</v>
      </c>
      <c r="E23" t="s">
        <v>193</v>
      </c>
      <c r="F23" t="s">
        <v>182</v>
      </c>
    </row>
    <row r="24" spans="1:6">
      <c r="A24" t="s">
        <v>125</v>
      </c>
      <c r="B24" t="s">
        <v>125</v>
      </c>
      <c r="D24" t="s">
        <v>48</v>
      </c>
      <c r="E24" t="s">
        <v>193</v>
      </c>
      <c r="F24" t="s">
        <v>182</v>
      </c>
    </row>
    <row r="25" spans="1:6">
      <c r="A25" t="s">
        <v>128</v>
      </c>
      <c r="B25" t="s">
        <v>128</v>
      </c>
      <c r="D25" t="s">
        <v>48</v>
      </c>
      <c r="E25" t="s">
        <v>193</v>
      </c>
      <c r="F25" t="s">
        <v>182</v>
      </c>
    </row>
    <row r="26" spans="1:6">
      <c r="A26" t="s">
        <v>131</v>
      </c>
      <c r="B26" t="s">
        <v>131</v>
      </c>
      <c r="D26" t="s">
        <v>48</v>
      </c>
      <c r="E26" t="s">
        <v>193</v>
      </c>
      <c r="F26" t="s">
        <v>182</v>
      </c>
    </row>
    <row r="27" spans="1:6">
      <c r="A27" t="s">
        <v>135</v>
      </c>
      <c r="B27" t="s">
        <v>135</v>
      </c>
      <c r="D27" t="s">
        <v>48</v>
      </c>
      <c r="E27" t="s">
        <v>193</v>
      </c>
      <c r="F27" t="s">
        <v>182</v>
      </c>
    </row>
    <row r="28" spans="1:6">
      <c r="A28" t="s">
        <v>138</v>
      </c>
      <c r="B28" t="s">
        <v>138</v>
      </c>
      <c r="D28" t="s">
        <v>48</v>
      </c>
      <c r="E28" t="s">
        <v>193</v>
      </c>
      <c r="F28" t="s">
        <v>182</v>
      </c>
    </row>
    <row r="29" spans="1:6">
      <c r="A29" t="s">
        <v>142</v>
      </c>
      <c r="B29" t="s">
        <v>142</v>
      </c>
      <c r="D29" t="s">
        <v>42</v>
      </c>
      <c r="E29" t="s">
        <v>193</v>
      </c>
      <c r="F29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200</v>
      </c>
      <c r="G1" s="2" t="s">
        <v>201</v>
      </c>
      <c r="H1" s="2" t="s">
        <v>202</v>
      </c>
      <c r="I1" s="2" t="s">
        <v>203</v>
      </c>
      <c r="J1" s="2" t="s">
        <v>27</v>
      </c>
    </row>
    <row r="2" spans="1:10">
      <c r="F2" t="s">
        <v>204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205</v>
      </c>
      <c r="D1" s="2" t="s">
        <v>206</v>
      </c>
      <c r="E1" s="2" t="s">
        <v>207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2026-08-07T06:10:47Z</dcterms:modified>
</cp:coreProperties>
</file>