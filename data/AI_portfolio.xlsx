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1d98cf21545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rtfolio" sheetId="1" r:id="R386a2cc53ed54cbe"/>
    <x:sheet xmlns:r="http://schemas.openxmlformats.org/officeDocument/2006/relationships" name="Accounts" sheetId="2" r:id="R25d68e1149744de7"/>
    <x:sheet xmlns:r="http://schemas.openxmlformats.org/officeDocument/2006/relationships" name="Settings" sheetId="3" r:id="R43eb57dfdf9d4bde"/>
    <x:sheet xmlns:r="http://schemas.openxmlformats.org/officeDocument/2006/relationships" name="FX" sheetId="4" r:id="R4133ca8d7f66447e"/>
    <x:sheet xmlns:r="http://schemas.openxmlformats.org/officeDocument/2006/relationships" name="Ticker_Map" sheetId="5" r:id="R401667deda924c1e"/>
    <x:sheet xmlns:r="http://schemas.openxmlformats.org/officeDocument/2006/relationships" name="Watchlist" sheetId="6" r:id="R4d3b6e83721548bd"/>
    <x:sheet xmlns:r="http://schemas.openxmlformats.org/officeDocument/2006/relationships" name="Cash" sheetId="7" r:id="R8f43be37fd0841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[Red](#,##0);-"/>
    <x:numFmt numFmtId="201" formatCode="#,##0.00;[Red](#,##0.00);-"/>
    <x:numFmt numFmtId="202" formatCode="0.0000;[Red](0.0000);-"/>
    <x:numFmt numFmtId="203" formatCode="#,##0 &quot;kr&quot;;[Red](#,##0 &quot;kr&quot;);-"/>
    <x:numFmt numFmtId="204" formatCode="0.0%;[Red](0.0%);-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4213D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202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201" fontId="2" fillId="0" borderId="1" xfId="0" applyNumberFormat="1" applyFont="1" applyFill="1" applyBorder="1"/>
    <x:xf numFmtId="202" fontId="2" fillId="0" borderId="1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3" fillId="0" borderId="0" xfId="0" applyNumberFormat="1" applyFont="1" applyFill="1" applyBorder="1"/>
    <x:xf numFmtId="204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3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FFFF4B4B"/>
      </x:font>
    </x:dxf>
    <x:dxf>
      <x:font>
        <x:b/>
        <x:color rgb="FFFF4B4B"/>
      </x:font>
    </x:dxf>
    <x:dxf>
      <x:font>
        <x:b/>
        <x:color rgb="FFFF4B4B"/>
      </x:font>
    </x:dxf>
    <x:dxf>
      <x:font>
        <x:b/>
        <x:color rgb="FFFF4B4B"/>
      </x:font>
    </x:dxf>
    <x:dxf>
      <x:font>
        <x:b/>
        <x:color rgb="FFFF4B4B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0806b8473a4b84" /><Relationship Type="http://schemas.openxmlformats.org/officeDocument/2006/relationships/theme" Target="/xl/theme/theme1.xml" Id="Ref46b1eea5854ac6" /><Relationship Type="http://schemas.microsoft.com/office/2022/11/relationships/FeaturePropertyBag" Target="/xl/featurePropertyBag/featurePropertyBag.xml" Id="R641b6195059b4294" /><Relationship Type="http://schemas.openxmlformats.org/officeDocument/2006/relationships/sharedStrings" Target="/xl/sharedStrings.xml" Id="R4e447b103571418f" /><Relationship Type="http://schemas.openxmlformats.org/officeDocument/2006/relationships/worksheet" Target="/xl/worksheets/sheet1.xml" Id="R386a2cc53ed54cbe" /><Relationship Type="http://schemas.openxmlformats.org/officeDocument/2006/relationships/worksheet" Target="/xl/worksheets/sheet2.xml" Id="R25d68e1149744de7" /><Relationship Type="http://schemas.openxmlformats.org/officeDocument/2006/relationships/worksheet" Target="/xl/worksheets/sheet3.xml" Id="R43eb57dfdf9d4bde" /><Relationship Type="http://schemas.openxmlformats.org/officeDocument/2006/relationships/worksheet" Target="/xl/worksheets/sheet4.xml" Id="R4133ca8d7f66447e" /><Relationship Type="http://schemas.openxmlformats.org/officeDocument/2006/relationships/worksheet" Target="/xl/worksheets/sheet5.xml" Id="R401667deda924c1e" /><Relationship Type="http://schemas.openxmlformats.org/officeDocument/2006/relationships/worksheet" Target="/xl/worksheets/sheet6.xml" Id="R4d3b6e83721548bd" /><Relationship Type="http://schemas.openxmlformats.org/officeDocument/2006/relationships/worksheet" Target="/xl/worksheets/sheet7.xml" Id="R8f43be37fd08416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ortfolioTable" displayName="PortfolioTable" ref="A1:AB29" headerRowCount="1">
  <x:tableColumns count="28">
    <x:tableColumn id="1" name="Asset_ID"/>
    <x:tableColumn id="2" name="Asset_Type"/>
    <x:tableColumn id="3" name="Name"/>
    <x:tableColumn id="4" name="Ticker"/>
    <x:tableColumn id="5" name="Yahoo_Ticker"/>
    <x:tableColumn id="6" name="ISIN"/>
    <x:tableColumn id="7" name="Quantity"/>
    <x:tableColumn id="8" name="Purchase_Price"/>
    <x:tableColumn id="9" name="Currency"/>
    <x:tableColumn id="10" name="Purchase_FX_to_DKK"/>
    <x:tableColumn id="11" name="Current_Price"/>
    <x:tableColumn id="12" name="Current_FX_to_DKK"/>
    <x:tableColumn id="13" name="Cost_Value_DKK"/>
    <x:tableColumn id="14" name="Market_Value_DKK"/>
    <x:tableColumn id="15" name="Local_Return_Pct"/>
    <x:tableColumn id="16" name="FX_Return_Pct"/>
    <x:tableColumn id="17" name="Return_DKK"/>
    <x:tableColumn id="18" name="Return_Pct"/>
    <x:tableColumn id="19" name="Portfolio_Weight"/>
    <x:tableColumn id="20" name="Sector"/>
    <x:tableColumn id="21" name="Account"/>
    <x:tableColumn id="22" name="Include_Analytics"/>
    <x:tableColumn id="23" name="Include_Weight"/>
    <x:tableColumn id="24" name="Price_Source"/>
    <x:tableColumn id="25" name="FX_Source"/>
    <x:tableColumn id="26" name="Last_Updated"/>
    <x:tableColumn id="27" name="Data_Quality_Flag"/>
    <x:tableColumn id="28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AccountsTable" displayName="AccountsTable" ref="A1:F4" headerRowCount="1">
  <x:tableColumns count="6">
    <x:tableColumn id="1" name="Account"/>
    <x:tableColumn id="2" name="Account_Type"/>
    <x:tableColumn id="3" name="Tax_Type"/>
    <x:tableColumn id="4" name="Include_Total"/>
    <x:tableColumn id="5" name="Include_Active_Portfolio"/>
    <x:tableColumn id="6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tingsTable" displayName="SettingsTable" ref="A1:D11" headerRowCount="1">
  <x:tableColumns count="4">
    <x:tableColumn id="1" name="Setting"/>
    <x:tableColumn id="2" name="Value"/>
    <x:tableColumn id="3" name="Unit"/>
    <x:tableColumn id="4" name="Description"/>
  </x:tableColumns>
  <x:tableStyleInfo name="TableStyleMedium2" showRowStripes="1"/>
</x:table>
</file>

<file path=xl/tables/table4.xml><?xml version="1.0" encoding="utf-8"?>
<x:table xmlns:x="http://schemas.openxmlformats.org/spreadsheetml/2006/main" id="4" name="FXTable" displayName="FXTable" ref="A1:G9" headerRowCount="1">
  <x:tableColumns count="7">
    <x:tableColumn id="1" name="Currency"/>
    <x:tableColumn id="2" name="Current_FX_to_DKK"/>
    <x:tableColumn id="3" name="Rate_Date"/>
    <x:tableColumn id="4" name="Source"/>
    <x:tableColumn id="5" name="Manual_Fallback"/>
    <x:tableColumn id="6" name="Use_Manual"/>
    <x:tableColumn id="7" name="Data_Quality"/>
  </x:tableColumns>
  <x:tableStyleInfo name="TableStyleMedium2" showRowStripes="1"/>
</x:table>
</file>

<file path=xl/tables/table5.xml><?xml version="1.0" encoding="utf-8"?>
<x:table xmlns:x="http://schemas.openxmlformats.org/spreadsheetml/2006/main" id="5" name="TickerMapTable" displayName="TickerMapTable" ref="A1:F29" headerRowCount="1">
  <x:tableColumns count="6">
    <x:tableColumn id="1" name="Ticker"/>
    <x:tableColumn id="2" name="Yahoo_Ticker"/>
    <x:tableColumn id="3" name="Exchange"/>
    <x:tableColumn id="4" name="Currency"/>
    <x:tableColumn id="5" name="Data_Source"/>
    <x:tableColumn id="6" name="Verification_Status"/>
  </x:tableColumns>
  <x:tableStyleInfo name="TableStyleMedium2" showRowStripes="1"/>
</x:table>
</file>

<file path=xl/tables/table6.xml><?xml version="1.0" encoding="utf-8"?>
<x:table xmlns:x="http://schemas.openxmlformats.org/spreadsheetml/2006/main" id="6" name="WatchlistTable" displayName="WatchlistTable" ref="A1:J2" headerRowCount="1">
  <x:tableColumns count="10">
    <x:tableColumn id="1" name="Name"/>
    <x:tableColumn id="2" name="Ticker"/>
    <x:tableColumn id="3" name="Yahoo_Ticker"/>
    <x:tableColumn id="4" name="Currency"/>
    <x:tableColumn id="5" name="Sector"/>
    <x:tableColumn id="6" name="Status"/>
    <x:tableColumn id="7" name="Target_Buy"/>
    <x:tableColumn id="8" name="Max_Price"/>
    <x:tableColumn id="9" name="AI_Confidence"/>
    <x:tableColumn id="10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CashTable" displayName="CashTable" ref="A1:G2" headerRowCount="1">
  <x:tableColumns count="7">
    <x:tableColumn id="1" name="Account"/>
    <x:tableColumn id="2" name="Currency"/>
    <x:tableColumn id="3" name="Amount"/>
    <x:tableColumn id="4" name="FX_to_DKK"/>
    <x:tableColumn id="5" name="Amount_DKK"/>
    <x:tableColumn id="6" name="Include_Total"/>
    <x:tableColumn id="7" name="Include_Active_Portfoli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b966b82c3c4f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101635c0f5841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954d6edaec546d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c059b2435a744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fc02a60f3da4a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afc66fe55fa4f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302ad35b84d43f8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  <x:col min="6" max="6" width="15" hidden="0" customWidth="1"/>
    <x:col min="7" max="7" width="10" hidden="0" customWidth="1"/>
    <x:col min="8" max="8" width="14" hidden="0" customWidth="1"/>
    <x:col min="9" max="9" width="10" hidden="0" customWidth="1"/>
    <x:col min="10" max="10" width="15" hidden="0" customWidth="1"/>
    <x:col min="11" max="11" width="14" hidden="0" customWidth="1"/>
    <x:col min="12" max="12" width="1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8" hidden="0" customWidth="1"/>
    <x:col min="21" max="21" width="12" hidden="0" customWidth="1"/>
    <x:col min="22" max="22" width="14" hidden="0" customWidth="1"/>
    <x:col min="23" max="23" width="14" hidden="0" customWidth="1"/>
    <x:col min="24" max="24" width="16" hidden="0" customWidth="1"/>
    <x:col min="25" max="25" width="16" hidden="0" customWidth="1"/>
    <x:col min="26" max="26" width="14" hidden="0" customWidth="1"/>
    <x:col min="27" max="27" width="18" hidden="0" customWidth="1"/>
    <x:col min="28" max="28" width="24" hidden="0" customWidth="1"/>
  </x:cols>
  <x:sheetData>
    <x:row r="1">
      <x:c r="A1" s="7" t="str">
        <x:v>Asset_ID</x:v>
      </x:c>
      <x:c r="B1" s="7" t="str">
        <x:v>Asset_Type</x:v>
      </x:c>
      <x:c r="C1" s="7" t="str">
        <x:v>Name</x:v>
      </x:c>
      <x:c r="D1" s="7" t="str">
        <x:v>Ticker</x:v>
      </x:c>
      <x:c r="E1" s="7" t="str">
        <x:v>Yahoo_Ticker</x:v>
      </x:c>
      <x:c r="F1" s="7" t="str">
        <x:v>ISIN</x:v>
      </x:c>
      <x:c r="G1" s="7" t="str">
        <x:v>Quantity</x:v>
      </x:c>
      <x:c r="H1" s="7" t="str">
        <x:v>Purchase_Price</x:v>
      </x:c>
      <x:c r="I1" s="7" t="str">
        <x:v>Currency</x:v>
      </x:c>
      <x:c r="J1" s="7" t="str">
        <x:v>Purchase_FX_to_DKK</x:v>
      </x:c>
      <x:c r="K1" s="7" t="str">
        <x:v>Current_Price</x:v>
      </x:c>
      <x:c r="L1" s="7" t="str">
        <x:v>Current_FX_to_DKK</x:v>
      </x:c>
      <x:c r="M1" s="7" t="str">
        <x:v>Cost_Value_DKK</x:v>
      </x:c>
      <x:c r="N1" s="7" t="str">
        <x:v>Market_Value_DKK</x:v>
      </x:c>
      <x:c r="O1" s="7" t="str">
        <x:v>Local_Return_Pct</x:v>
      </x:c>
      <x:c r="P1" s="7" t="str">
        <x:v>FX_Return_Pct</x:v>
      </x:c>
      <x:c r="Q1" s="7" t="str">
        <x:v>Return_DKK</x:v>
      </x:c>
      <x:c r="R1" s="7" t="str">
        <x:v>Return_Pct</x:v>
      </x:c>
      <x:c r="S1" s="7" t="str">
        <x:v>Portfolio_Weight</x:v>
      </x:c>
      <x:c r="T1" s="7" t="str">
        <x:v>Sector</x:v>
      </x:c>
      <x:c r="U1" s="7" t="str">
        <x:v>Account</x:v>
      </x:c>
      <x:c r="V1" s="7" t="str">
        <x:v>Include_Analytics</x:v>
      </x:c>
      <x:c r="W1" s="7" t="str">
        <x:v>Include_Weight</x:v>
      </x:c>
      <x:c r="X1" s="7" t="str">
        <x:v>Price_Source</x:v>
      </x:c>
      <x:c r="Y1" s="7" t="str">
        <x:v>FX_Source</x:v>
      </x:c>
      <x:c r="Z1" s="7" t="str">
        <x:v>Last_Updated</x:v>
      </x:c>
      <x:c r="AA1" s="7" t="str">
        <x:v>Data_Quality_Flag</x:v>
      </x:c>
      <x:c r="AB1" s="7" t="str">
        <x:v>Notes</x:v>
      </x:c>
    </x:row>
    <x:row r="2">
      <x:c r="A2" s="22" t="str">
        <x:v>A001</x:v>
      </x:c>
      <x:c r="B2" s="22" t="str">
        <x:v>Stock</x:v>
      </x:c>
      <x:c r="C2" s="38" t="str">
        <x:v>ABB Ltd</x:v>
      </x:c>
      <x:c r="D2" s="22" t="str">
        <x:v>ABB:XSTO</x:v>
      </x:c>
      <x:c r="E2" s="22" t="str">
        <x:v>ABB.ST</x:v>
      </x:c>
      <x:c r="F2" s="22" t="str"/>
      <x:c r="G2" s="23" t="n">
        <x:v>47</x:v>
      </x:c>
      <x:c r="H2" s="24" t="n">
        <x:v>858.39</x:v>
      </x:c>
      <x:c r="I2" s="22" t="str">
        <x:v>SEK</x:v>
      </x:c>
      <x:c r="J2" s="25"/>
      <x:c r="K2" s="24" t="n">
        <x:v>936</x:v>
      </x:c>
      <x:c r="L2" s="36" t="str">
        <x:f>IF(I2="DKK",1,IFERROR(XLOOKUP(I2,FX!$A$2:$A$20,FX!$B$2:$B$20,""),""))</x:f>
      </x:c>
      <x:c r="M2" s="32" t="n">
        <x:f>IFERROR(G2*H2*J2,"")</x:f>
        <x:v>0</x:v>
      </x:c>
      <x:c r="N2" s="32" t="n">
        <x:f>IFERROR(G2*K2*L2,"")</x:f>
        <x:v>0</x:v>
      </x:c>
      <x:c r="O2" s="33" t="n">
        <x:f>IFERROR(K2/H2-1,"")</x:f>
        <x:v>0.09041344843253074</x:v>
      </x:c>
      <x:c r="P2" s="33" t="str">
        <x:f>IFERROR(L2/J2-1,"")</x:f>
      </x:c>
      <x:c r="Q2" s="32" t="n">
        <x:f>IFERROR(N2-M2,"")</x:f>
        <x:v>0</x:v>
      </x:c>
      <x:c r="R2" s="33" t="str">
        <x:f>IFERROR(N2/M2-1,"")</x:f>
      </x:c>
      <x:c r="S2" s="33" t="n">
        <x:f>IF(W2=TRUE,IFERROR(N2/SUMIFS($N$2:$N$500,$W$2:$W$500,TRUE),0),0)</x:f>
        <x:v>0</x:v>
      </x:c>
      <x:c r="T2" s="22" t="str">
        <x:v>Infrastruktur</x:v>
      </x:c>
      <x:c r="U2" s="22" t="str">
        <x:v>ASK</x:v>
      </x:c>
      <x:c r="V2" s="30" t="b">
        <x:v>1</x:v>
      </x:c>
      <x:c r="W2" s="30" t="b">
        <x:v>1</x:v>
      </x:c>
      <x:c r="X2" s="22" t="str">
        <x:v>Manual/Market data</x:v>
      </x:c>
      <x:c r="Y2" s="22" t="str">
        <x:v>FX sheet</x:v>
      </x:c>
      <x:c r="Z2" s="22" t="str"/>
      <x:c r="AA2" s="38" t="str"/>
      <x:c r="AB2" s="38" t="str"/>
    </x:row>
    <x:row r="3">
      <x:c r="A3" s="22" t="str">
        <x:v>A002</x:v>
      </x:c>
      <x:c r="B3" s="22" t="str">
        <x:v>Stock</x:v>
      </x:c>
      <x:c r="C3" s="38" t="str">
        <x:v>AL Sydbank A/S</x:v>
      </x:c>
      <x:c r="D3" s="22" t="str">
        <x:v>ALSYDB:XCSE</x:v>
      </x:c>
      <x:c r="E3" s="22" t="str">
        <x:v>ALSYDB.CO</x:v>
      </x:c>
      <x:c r="F3" s="22" t="str"/>
      <x:c r="G3" s="23" t="n">
        <x:v>50</x:v>
      </x:c>
      <x:c r="H3" s="24" t="n">
        <x:v>436.48</x:v>
      </x:c>
      <x:c r="I3" s="22" t="str">
        <x:v>DKK</x:v>
      </x:c>
      <x:c r="J3" s="25" t="n">
        <x:v>1</x:v>
      </x:c>
      <x:c r="K3" s="24" t="n">
        <x:v>615.5</x:v>
      </x:c>
      <x:c r="L3" s="36" t="n">
        <x:f>IF(I3="DKK",1,IFERROR(XLOOKUP(I3,FX!$A$2:$A$20,FX!$B$2:$B$20,""),""))</x:f>
        <x:v>1</x:v>
      </x:c>
      <x:c r="M3" s="32" t="n">
        <x:f>IFERROR(G3*H3*J3,"")</x:f>
        <x:v>21824</x:v>
      </x:c>
      <x:c r="N3" s="32" t="n">
        <x:f>IFERROR(G3*K3*L3,"")</x:f>
        <x:v>30775</x:v>
      </x:c>
      <x:c r="O3" s="33" t="n">
        <x:f>IFERROR(K3/H3-1,"")</x:f>
        <x:v>0.41014479472140764</x:v>
      </x:c>
      <x:c r="P3" s="33" t="n">
        <x:f>IFERROR(L3/J3-1,"")</x:f>
        <x:v>0</x:v>
      </x:c>
      <x:c r="Q3" s="32" t="n">
        <x:f>IFERROR(N3-M3,"")</x:f>
        <x:v>8951</x:v>
      </x:c>
      <x:c r="R3" s="33" t="n">
        <x:f>IFERROR(N3/M3-1,"")</x:f>
        <x:v>0.41014479472140764</x:v>
      </x:c>
      <x:c r="S3" s="33" t="n">
        <x:f>IF(W3=TRUE,IFERROR(N3/SUMIFS($N$2:$N$500,$W$2:$W$500,TRUE),0),0)</x:f>
        <x:v>0</x:v>
      </x:c>
      <x:c r="T3" s="22" t="str">
        <x:v>Finans</x:v>
      </x:c>
      <x:c r="U3" s="22" t="str">
        <x:v>ASK</x:v>
      </x:c>
      <x:c r="V3" s="30" t="b">
        <x:v>1</x:v>
      </x:c>
      <x:c r="W3" s="30" t="b">
        <x:v>1</x:v>
      </x:c>
      <x:c r="X3" s="22" t="str">
        <x:v>Manual/Market data</x:v>
      </x:c>
      <x:c r="Y3" s="22" t="str">
        <x:v>FX sheet</x:v>
      </x:c>
      <x:c r="Z3" s="22" t="str"/>
      <x:c r="AA3" s="38" t="str"/>
      <x:c r="AB3" s="38" t="str"/>
    </x:row>
    <x:row r="4">
      <x:c r="A4" s="22" t="str">
        <x:v>A003</x:v>
      </x:c>
      <x:c r="B4" s="22" t="str">
        <x:v>Stock</x:v>
      </x:c>
      <x:c r="C4" s="38" t="str">
        <x:v>ASML Holding NV</x:v>
      </x:c>
      <x:c r="D4" s="22" t="str">
        <x:v>ASML:XAMS</x:v>
      </x:c>
      <x:c r="E4" s="22" t="str">
        <x:v>ASML.AS</x:v>
      </x:c>
      <x:c r="F4" s="22" t="str"/>
      <x:c r="G4" s="23" t="n">
        <x:v>5</x:v>
      </x:c>
      <x:c r="H4" s="24" t="n">
        <x:v>1018.6</x:v>
      </x:c>
      <x:c r="I4" s="22" t="str">
        <x:v>EUR</x:v>
      </x:c>
      <x:c r="J4" s="25"/>
      <x:c r="K4" s="24" t="n">
        <x:v>1387</x:v>
      </x:c>
      <x:c r="L4" s="36" t="str">
        <x:f>IF(I4="DKK",1,IFERROR(XLOOKUP(I4,FX!$A$2:$A$20,FX!$B$2:$B$20,""),""))</x:f>
      </x:c>
      <x:c r="M4" s="32" t="n">
        <x:f>IFERROR(G4*H4*J4,"")</x:f>
        <x:v>0</x:v>
      </x:c>
      <x:c r="N4" s="32" t="n">
        <x:f>IFERROR(G4*K4*L4,"")</x:f>
        <x:v>0</x:v>
      </x:c>
      <x:c r="O4" s="33" t="n">
        <x:f>IFERROR(K4/H4-1,"")</x:f>
        <x:v>0.36167288435107015</x:v>
      </x:c>
      <x:c r="P4" s="33" t="str">
        <x:f>IFERROR(L4/J4-1,"")</x:f>
      </x:c>
      <x:c r="Q4" s="32" t="n">
        <x:f>IFERROR(N4-M4,"")</x:f>
        <x:v>0</x:v>
      </x:c>
      <x:c r="R4" s="33" t="str">
        <x:f>IFERROR(N4/M4-1,"")</x:f>
      </x:c>
      <x:c r="S4" s="33" t="n">
        <x:f>IF(W4=TRUE,IFERROR(N4/SUMIFS($N$2:$N$500,$W$2:$W$500,TRUE),0),0)</x:f>
        <x:v>0</x:v>
      </x:c>
      <x:c r="T4" s="22" t="str">
        <x:v>Teknologi</x:v>
      </x:c>
      <x:c r="U4" s="22" t="str">
        <x:v>ASK</x:v>
      </x:c>
      <x:c r="V4" s="30" t="b">
        <x:v>1</x:v>
      </x:c>
      <x:c r="W4" s="30" t="b">
        <x:v>1</x:v>
      </x:c>
      <x:c r="X4" s="22" t="str">
        <x:v>Manual/Market data</x:v>
      </x:c>
      <x:c r="Y4" s="22" t="str">
        <x:v>FX sheet</x:v>
      </x:c>
      <x:c r="Z4" s="22" t="str"/>
      <x:c r="AA4" s="38" t="str"/>
      <x:c r="AB4" s="38" t="str"/>
    </x:row>
    <x:row r="5">
      <x:c r="A5" s="22" t="str">
        <x:v>A004</x:v>
      </x:c>
      <x:c r="B5" s="22" t="str">
        <x:v>Stock</x:v>
      </x:c>
      <x:c r="C5" s="38" t="str">
        <x:v>Danske Bank A/S</x:v>
      </x:c>
      <x:c r="D5" s="22" t="str">
        <x:v>DANSKE:XCSE</x:v>
      </x:c>
      <x:c r="E5" s="22" t="str">
        <x:v>DANSKE.CO</x:v>
      </x:c>
      <x:c r="F5" s="22" t="str"/>
      <x:c r="G5" s="23" t="n">
        <x:v>153</x:v>
      </x:c>
      <x:c r="H5" s="24" t="n">
        <x:v>200.16</x:v>
      </x:c>
      <x:c r="I5" s="22" t="str">
        <x:v>DKK</x:v>
      </x:c>
      <x:c r="J5" s="25" t="n">
        <x:v>1</x:v>
      </x:c>
      <x:c r="K5" s="24" t="n">
        <x:v>364.2</x:v>
      </x:c>
      <x:c r="L5" s="36" t="n">
        <x:f>IF(I5="DKK",1,IFERROR(XLOOKUP(I5,FX!$A$2:$A$20,FX!$B$2:$B$20,""),""))</x:f>
        <x:v>1</x:v>
      </x:c>
      <x:c r="M5" s="32" t="n">
        <x:f>IFERROR(G5*H5*J5,"")</x:f>
        <x:v>30624.48</x:v>
      </x:c>
      <x:c r="N5" s="32" t="n">
        <x:f>IFERROR(G5*K5*L5,"")</x:f>
        <x:v>55722.6</x:v>
      </x:c>
      <x:c r="O5" s="33" t="n">
        <x:f>IFERROR(K5/H5-1,"")</x:f>
        <x:v>0.8195443645083933</x:v>
      </x:c>
      <x:c r="P5" s="33" t="n">
        <x:f>IFERROR(L5/J5-1,"")</x:f>
        <x:v>0</x:v>
      </x:c>
      <x:c r="Q5" s="32" t="n">
        <x:f>IFERROR(N5-M5,"")</x:f>
        <x:v>25098.12</x:v>
      </x:c>
      <x:c r="R5" s="33" t="n">
        <x:f>IFERROR(N5/M5-1,"")</x:f>
        <x:v>0.8195443645083933</x:v>
      </x:c>
      <x:c r="S5" s="33" t="n">
        <x:f>IF(W5=TRUE,IFERROR(N5/SUMIFS($N$2:$N$500,$W$2:$W$500,TRUE),0),0)</x:f>
        <x:v>0</x:v>
      </x:c>
      <x:c r="T5" s="22" t="str">
        <x:v>Finans</x:v>
      </x:c>
      <x:c r="U5" s="22" t="str">
        <x:v>ASK</x:v>
      </x:c>
      <x:c r="V5" s="30" t="b">
        <x:v>1</x:v>
      </x:c>
      <x:c r="W5" s="30" t="b">
        <x:v>1</x:v>
      </x:c>
      <x:c r="X5" s="22" t="str">
        <x:v>Manual/Market data</x:v>
      </x:c>
      <x:c r="Y5" s="22" t="str">
        <x:v>FX sheet</x:v>
      </x:c>
      <x:c r="Z5" s="22" t="str"/>
      <x:c r="AA5" s="38" t="str"/>
      <x:c r="AB5" s="38" t="str"/>
    </x:row>
    <x:row r="6">
      <x:c r="A6" s="22" t="str">
        <x:v>A005</x:v>
      </x:c>
      <x:c r="B6" s="22" t="str">
        <x:v>Stock</x:v>
      </x:c>
      <x:c r="C6" s="38" t="str">
        <x:v>Frontline PLC</x:v>
      </x:c>
      <x:c r="D6" s="22" t="str">
        <x:v>FRO</x:v>
      </x:c>
      <x:c r="E6" s="22" t="str">
        <x:v>FRO</x:v>
      </x:c>
      <x:c r="F6" s="22" t="str"/>
      <x:c r="G6" s="23" t="n">
        <x:v>22</x:v>
      </x:c>
      <x:c r="H6" s="24" t="n">
        <x:v>40.62</x:v>
      </x:c>
      <x:c r="I6" s="22" t="str">
        <x:v>USD</x:v>
      </x:c>
      <x:c r="J6" s="25"/>
      <x:c r="K6" s="24" t="n">
        <x:v>38.297</x:v>
      </x:c>
      <x:c r="L6" s="36" t="str">
        <x:f>IF(I6="DKK",1,IFERROR(XLOOKUP(I6,FX!$A$2:$A$20,FX!$B$2:$B$20,""),""))</x:f>
      </x:c>
      <x:c r="M6" s="32" t="n">
        <x:f>IFERROR(G6*H6*J6,"")</x:f>
        <x:v>0</x:v>
      </x:c>
      <x:c r="N6" s="32" t="n">
        <x:f>IFERROR(G6*K6*L6,"")</x:f>
        <x:v>0</x:v>
      </x:c>
      <x:c r="O6" s="33" t="n">
        <x:f>IFERROR(K6/H6-1,"")</x:f>
        <x:v>-0.057188577055637624</x:v>
      </x:c>
      <x:c r="P6" s="33" t="str">
        <x:f>IFERROR(L6/J6-1,"")</x:f>
      </x:c>
      <x:c r="Q6" s="32" t="n">
        <x:f>IFERROR(N6-M6,"")</x:f>
        <x:v>0</x:v>
      </x:c>
      <x:c r="R6" s="33" t="str">
        <x:f>IFERROR(N6/M6-1,"")</x:f>
      </x:c>
      <x:c r="S6" s="33" t="n">
        <x:f>IF(W6=TRUE,IFERROR(N6/SUMIFS($N$2:$N$500,$W$2:$W$500,TRUE),0),0)</x:f>
        <x:v>0</x:v>
      </x:c>
      <x:c r="T6" s="22" t="str">
        <x:v>Industri</x:v>
      </x:c>
      <x:c r="U6" s="22" t="str">
        <x:v>ASK</x:v>
      </x:c>
      <x:c r="V6" s="30" t="b">
        <x:v>1</x:v>
      </x:c>
      <x:c r="W6" s="30" t="b">
        <x:v>1</x:v>
      </x:c>
      <x:c r="X6" s="22" t="str">
        <x:v>Manual/Market data</x:v>
      </x:c>
      <x:c r="Y6" s="22" t="str">
        <x:v>FX sheet</x:v>
      </x:c>
      <x:c r="Z6" s="22" t="str"/>
      <x:c r="AA6" s="38" t="str"/>
      <x:c r="AB6" s="38" t="str"/>
    </x:row>
    <x:row r="7">
      <x:c r="A7" s="22" t="str">
        <x:v>A006</x:v>
      </x:c>
      <x:c r="B7" s="22" t="str">
        <x:v>Stock</x:v>
      </x:c>
      <x:c r="C7" s="38" t="str">
        <x:v>MICROSOFT CORPORATION</x:v>
      </x:c>
      <x:c r="D7" s="22" t="str">
        <x:v>MSF:XETR</x:v>
      </x:c>
      <x:c r="E7" s="22" t="str">
        <x:v>MSF.DE</x:v>
      </x:c>
      <x:c r="F7" s="22" t="str"/>
      <x:c r="G7" s="23" t="n">
        <x:v>14</x:v>
      </x:c>
      <x:c r="H7" s="24" t="n">
        <x:v>388.08</x:v>
      </x:c>
      <x:c r="I7" s="22" t="str">
        <x:v>EUR</x:v>
      </x:c>
      <x:c r="J7" s="25"/>
      <x:c r="K7" s="24" t="n">
        <x:v>342.9</x:v>
      </x:c>
      <x:c r="L7" s="36" t="str">
        <x:f>IF(I7="DKK",1,IFERROR(XLOOKUP(I7,FX!$A$2:$A$20,FX!$B$2:$B$20,""),""))</x:f>
      </x:c>
      <x:c r="M7" s="32" t="n">
        <x:f>IFERROR(G7*H7*J7,"")</x:f>
        <x:v>0</x:v>
      </x:c>
      <x:c r="N7" s="32" t="n">
        <x:f>IFERROR(G7*K7*L7,"")</x:f>
        <x:v>0</x:v>
      </x:c>
      <x:c r="O7" s="33" t="n">
        <x:f>IFERROR(K7/H7-1,"")</x:f>
        <x:v>-0.11641929499072357</x:v>
      </x:c>
      <x:c r="P7" s="33" t="str">
        <x:f>IFERROR(L7/J7-1,"")</x:f>
      </x:c>
      <x:c r="Q7" s="32" t="n">
        <x:f>IFERROR(N7-M7,"")</x:f>
        <x:v>0</x:v>
      </x:c>
      <x:c r="R7" s="33" t="str">
        <x:f>IFERROR(N7/M7-1,"")</x:f>
      </x:c>
      <x:c r="S7" s="33" t="n">
        <x:f>IF(W7=TRUE,IFERROR(N7/SUMIFS($N$2:$N$500,$W$2:$W$500,TRUE),0),0)</x:f>
        <x:v>0</x:v>
      </x:c>
      <x:c r="T7" s="22" t="str">
        <x:v>Teknologi</x:v>
      </x:c>
      <x:c r="U7" s="22" t="str">
        <x:v>ASK</x:v>
      </x:c>
      <x:c r="V7" s="30" t="b">
        <x:v>1</x:v>
      </x:c>
      <x:c r="W7" s="30" t="b">
        <x:v>1</x:v>
      </x:c>
      <x:c r="X7" s="22" t="str">
        <x:v>Manual/Market data</x:v>
      </x:c>
      <x:c r="Y7" s="22" t="str">
        <x:v>FX sheet</x:v>
      </x:c>
      <x:c r="Z7" s="22" t="str"/>
      <x:c r="AA7" s="38" t="str"/>
      <x:c r="AB7" s="38" t="str"/>
    </x:row>
    <x:row r="8">
      <x:c r="A8" s="22" t="str">
        <x:v>A007</x:v>
      </x:c>
      <x:c r="B8" s="22" t="str">
        <x:v>Stock</x:v>
      </x:c>
      <x:c r="C8" s="38" t="str">
        <x:v>Nkt A/S</x:v>
      </x:c>
      <x:c r="D8" s="22" t="str">
        <x:v>NKT.CO</x:v>
      </x:c>
      <x:c r="E8" s="22" t="str">
        <x:v>NKT.CO</x:v>
      </x:c>
      <x:c r="F8" s="22" t="str"/>
      <x:c r="G8" s="23" t="n">
        <x:v>63</x:v>
      </x:c>
      <x:c r="H8" s="24" t="n">
        <x:v>405.68</x:v>
      </x:c>
      <x:c r="I8" s="22" t="str">
        <x:v>DKK</x:v>
      </x:c>
      <x:c r="J8" s="25" t="n">
        <x:v>1</x:v>
      </x:c>
      <x:c r="K8" s="24" t="n">
        <x:v>871</x:v>
      </x:c>
      <x:c r="L8" s="36" t="n">
        <x:f>IF(I8="DKK",1,IFERROR(XLOOKUP(I8,FX!$A$2:$A$20,FX!$B$2:$B$20,""),""))</x:f>
        <x:v>1</x:v>
      </x:c>
      <x:c r="M8" s="32" t="n">
        <x:f>IFERROR(G8*H8*J8,"")</x:f>
        <x:v>25557.84</x:v>
      </x:c>
      <x:c r="N8" s="32" t="n">
        <x:f>IFERROR(G8*K8*L8,"")</x:f>
        <x:v>54873</x:v>
      </x:c>
      <x:c r="O8" s="33" t="n">
        <x:f>IFERROR(K8/H8-1,"")</x:f>
        <x:v>1.1470124235850916</x:v>
      </x:c>
      <x:c r="P8" s="33" t="n">
        <x:f>IFERROR(L8/J8-1,"")</x:f>
        <x:v>0</x:v>
      </x:c>
      <x:c r="Q8" s="32" t="n">
        <x:f>IFERROR(N8-M8,"")</x:f>
        <x:v>29315.16</x:v>
      </x:c>
      <x:c r="R8" s="33" t="n">
        <x:f>IFERROR(N8/M8-1,"")</x:f>
        <x:v>1.1470124235850916</x:v>
      </x:c>
      <x:c r="S8" s="33" t="n">
        <x:f>IF(W8=TRUE,IFERROR(N8/SUMIFS($N$2:$N$500,$W$2:$W$500,TRUE),0),0)</x:f>
        <x:v>0</x:v>
      </x:c>
      <x:c r="T8" s="22" t="str">
        <x:v>Industri</x:v>
      </x:c>
      <x:c r="U8" s="22" t="str">
        <x:v>ASK</x:v>
      </x:c>
      <x:c r="V8" s="30" t="b">
        <x:v>1</x:v>
      </x:c>
      <x:c r="W8" s="30" t="b">
        <x:v>1</x:v>
      </x:c>
      <x:c r="X8" s="22" t="str">
        <x:v>Manual/Market data</x:v>
      </x:c>
      <x:c r="Y8" s="22" t="str">
        <x:v>FX sheet</x:v>
      </x:c>
      <x:c r="Z8" s="22" t="str"/>
      <x:c r="AA8" s="38" t="str"/>
      <x:c r="AB8" s="38" t="str"/>
    </x:row>
    <x:row r="9">
      <x:c r="A9" s="22" t="str">
        <x:v>A008</x:v>
      </x:c>
      <x:c r="B9" s="22" t="str">
        <x:v>Stock</x:v>
      </x:c>
      <x:c r="C9" s="38" t="str">
        <x:v>Novo Nordisk A/S</x:v>
      </x:c>
      <x:c r="D9" s="22" t="str">
        <x:v>NOVO-B.CO</x:v>
      </x:c>
      <x:c r="E9" s="22" t="str">
        <x:v>NOVO-B.CO</x:v>
      </x:c>
      <x:c r="F9" s="22" t="str"/>
      <x:c r="G9" s="23" t="n">
        <x:v>336</x:v>
      </x:c>
      <x:c r="H9" s="24" t="n">
        <x:v>426.68</x:v>
      </x:c>
      <x:c r="I9" s="22" t="str">
        <x:v>DKK</x:v>
      </x:c>
      <x:c r="J9" s="25" t="n">
        <x:v>1</x:v>
      </x:c>
      <x:c r="K9" s="24" t="n">
        <x:v>325.9</x:v>
      </x:c>
      <x:c r="L9" s="36" t="n">
        <x:f>IF(I9="DKK",1,IFERROR(XLOOKUP(I9,FX!$A$2:$A$20,FX!$B$2:$B$20,""),""))</x:f>
        <x:v>1</x:v>
      </x:c>
      <x:c r="M9" s="32" t="n">
        <x:f>IFERROR(G9*H9*J9,"")</x:f>
        <x:v>143364.48</x:v>
      </x:c>
      <x:c r="N9" s="32" t="n">
        <x:f>IFERROR(G9*K9*L9,"")</x:f>
        <x:v>109502.4</x:v>
      </x:c>
      <x:c r="O9" s="33" t="n">
        <x:f>IFERROR(K9/H9-1,"")</x:f>
        <x:v>-0.23619574388300368</x:v>
      </x:c>
      <x:c r="P9" s="33" t="n">
        <x:f>IFERROR(L9/J9-1,"")</x:f>
        <x:v>0</x:v>
      </x:c>
      <x:c r="Q9" s="32" t="n">
        <x:f>IFERROR(N9-M9,"")</x:f>
        <x:v>-33862.080000000016</x:v>
      </x:c>
      <x:c r="R9" s="33" t="n">
        <x:f>IFERROR(N9/M9-1,"")</x:f>
        <x:v>-0.2361957438830038</x:v>
      </x:c>
      <x:c r="S9" s="33" t="n">
        <x:f>IF(W9=TRUE,IFERROR(N9/SUMIFS($N$2:$N$500,$W$2:$W$500,TRUE),0),0)</x:f>
        <x:v>0</x:v>
      </x:c>
      <x:c r="T9" s="22" t="str">
        <x:v>Sundhed</x:v>
      </x:c>
      <x:c r="U9" s="22" t="str">
        <x:v>ASK</x:v>
      </x:c>
      <x:c r="V9" s="30" t="b">
        <x:v>1</x:v>
      </x:c>
      <x:c r="W9" s="30" t="b">
        <x:v>1</x:v>
      </x:c>
      <x:c r="X9" s="22" t="str">
        <x:v>Manual/Market data</x:v>
      </x:c>
      <x:c r="Y9" s="22" t="str">
        <x:v>FX sheet</x:v>
      </x:c>
      <x:c r="Z9" s="22" t="str"/>
      <x:c r="AA9" s="38" t="str"/>
      <x:c r="AB9" s="38" t="str"/>
    </x:row>
    <x:row r="10">
      <x:c r="A10" s="22" t="str">
        <x:v>A009</x:v>
      </x:c>
      <x:c r="B10" s="22" t="str">
        <x:v>Stock</x:v>
      </x:c>
      <x:c r="C10" s="38" t="str">
        <x:v>Pandora A/S</x:v>
      </x:c>
      <x:c r="D10" s="22" t="str">
        <x:v>PNDORA:XCSE</x:v>
      </x:c>
      <x:c r="E10" s="22" t="str">
        <x:v>PNDORA.CO</x:v>
      </x:c>
      <x:c r="F10" s="22" t="str"/>
      <x:c r="G10" s="23" t="n">
        <x:v>38</x:v>
      </x:c>
      <x:c r="H10" s="24" t="n">
        <x:v>631.61</x:v>
      </x:c>
      <x:c r="I10" s="22" t="str">
        <x:v>DKK</x:v>
      </x:c>
      <x:c r="J10" s="25" t="n">
        <x:v>1</x:v>
      </x:c>
      <x:c r="K10" s="24" t="n">
        <x:v>782.4</x:v>
      </x:c>
      <x:c r="L10" s="36" t="n">
        <x:f>IF(I10="DKK",1,IFERROR(XLOOKUP(I10,FX!$A$2:$A$20,FX!$B$2:$B$20,""),""))</x:f>
        <x:v>1</x:v>
      </x:c>
      <x:c r="M10" s="32" t="n">
        <x:f>IFERROR(G10*H10*J10,"")</x:f>
        <x:v>24001.18</x:v>
      </x:c>
      <x:c r="N10" s="32" t="n">
        <x:f>IFERROR(G10*K10*L10,"")</x:f>
        <x:v>29731.2</x:v>
      </x:c>
      <x:c r="O10" s="33" t="n">
        <x:f>IFERROR(K10/H10-1,"")</x:f>
        <x:v>0.238739095327813</x:v>
      </x:c>
      <x:c r="P10" s="33" t="n">
        <x:f>IFERROR(L10/J10-1,"")</x:f>
        <x:v>0</x:v>
      </x:c>
      <x:c r="Q10" s="32" t="n">
        <x:f>IFERROR(N10-M10,"")</x:f>
        <x:v>5730.02</x:v>
      </x:c>
      <x:c r="R10" s="33" t="n">
        <x:f>IFERROR(N10/M10-1,"")</x:f>
        <x:v>0.238739095327813</x:v>
      </x:c>
      <x:c r="S10" s="33" t="n">
        <x:f>IF(W10=TRUE,IFERROR(N10/SUMIFS($N$2:$N$500,$W$2:$W$500,TRUE),0),0)</x:f>
        <x:v>0</x:v>
      </x:c>
      <x:c r="T10" s="22" t="str">
        <x:v>Forbrug</x:v>
      </x:c>
      <x:c r="U10" s="22" t="str">
        <x:v>ASK</x:v>
      </x:c>
      <x:c r="V10" s="30" t="b">
        <x:v>1</x:v>
      </x:c>
      <x:c r="W10" s="30" t="b">
        <x:v>1</x:v>
      </x:c>
      <x:c r="X10" s="22" t="str">
        <x:v>Manual/Market data</x:v>
      </x:c>
      <x:c r="Y10" s="22" t="str">
        <x:v>FX sheet</x:v>
      </x:c>
      <x:c r="Z10" s="22" t="str"/>
      <x:c r="AA10" s="38" t="str"/>
      <x:c r="AB10" s="38" t="str"/>
    </x:row>
    <x:row r="11">
      <x:c r="A11" s="22" t="str">
        <x:v>A010</x:v>
      </x:c>
      <x:c r="B11" s="22" t="str">
        <x:v>Stock</x:v>
      </x:c>
      <x:c r="C11" s="38" t="str">
        <x:v>Siemens Energy AG</x:v>
      </x:c>
      <x:c r="D11" s="22" t="str">
        <x:v>ENR:XETR</x:v>
      </x:c>
      <x:c r="E11" s="22" t="str">
        <x:v>ENR.DE</x:v>
      </x:c>
      <x:c r="F11" s="22" t="str"/>
      <x:c r="G11" s="23" t="n">
        <x:v>9</x:v>
      </x:c>
      <x:c r="H11" s="24" t="n">
        <x:v>144.17</x:v>
      </x:c>
      <x:c r="I11" s="22" t="str">
        <x:v>EUR</x:v>
      </x:c>
      <x:c r="J11" s="25"/>
      <x:c r="K11" s="24" t="n">
        <x:v>147.12</x:v>
      </x:c>
      <x:c r="L11" s="36" t="str">
        <x:f>IF(I11="DKK",1,IFERROR(XLOOKUP(I11,FX!$A$2:$A$20,FX!$B$2:$B$20,""),""))</x:f>
      </x:c>
      <x:c r="M11" s="32" t="n">
        <x:f>IFERROR(G11*H11*J11,"")</x:f>
        <x:v>0</x:v>
      </x:c>
      <x:c r="N11" s="32" t="n">
        <x:f>IFERROR(G11*K11*L11,"")</x:f>
        <x:v>0</x:v>
      </x:c>
      <x:c r="O11" s="33" t="n">
        <x:f>IFERROR(K11/H11-1,"")</x:f>
        <x:v>0.02046195463688716</x:v>
      </x:c>
      <x:c r="P11" s="33" t="str">
        <x:f>IFERROR(L11/J11-1,"")</x:f>
      </x:c>
      <x:c r="Q11" s="32" t="n">
        <x:f>IFERROR(N11-M11,"")</x:f>
        <x:v>0</x:v>
      </x:c>
      <x:c r="R11" s="33" t="str">
        <x:f>IFERROR(N11/M11-1,"")</x:f>
      </x:c>
      <x:c r="S11" s="33" t="n">
        <x:f>IF(W11=TRUE,IFERROR(N11/SUMIFS($N$2:$N$500,$W$2:$W$500,TRUE),0),0)</x:f>
        <x:v>0</x:v>
      </x:c>
      <x:c r="T11" s="22" t="str">
        <x:v>Infrastruktur</x:v>
      </x:c>
      <x:c r="U11" s="22" t="str">
        <x:v>ASK</x:v>
      </x:c>
      <x:c r="V11" s="30" t="b">
        <x:v>1</x:v>
      </x:c>
      <x:c r="W11" s="30" t="b">
        <x:v>1</x:v>
      </x:c>
      <x:c r="X11" s="22" t="str">
        <x:v>Manual/Market data</x:v>
      </x:c>
      <x:c r="Y11" s="22" t="str">
        <x:v>FX sheet</x:v>
      </x:c>
      <x:c r="Z11" s="22" t="str"/>
      <x:c r="AA11" s="38" t="str"/>
      <x:c r="AB11" s="38" t="str"/>
    </x:row>
    <x:row r="12">
      <x:c r="A12" s="22" t="str">
        <x:v>A011</x:v>
      </x:c>
      <x:c r="B12" s="22" t="str">
        <x:v>Stock</x:v>
      </x:c>
      <x:c r="C12" s="38" t="str">
        <x:v>Taiwan Semiconductor Manufacturing Co. Ltd.</x:v>
      </x:c>
      <x:c r="D12" s="22" t="str">
        <x:v>TSM:XNYS</x:v>
      </x:c>
      <x:c r="E12" s="22" t="str">
        <x:v>TSM</x:v>
      </x:c>
      <x:c r="F12" s="22" t="str"/>
      <x:c r="G12" s="23" t="n">
        <x:v>14</x:v>
      </x:c>
      <x:c r="H12" s="24" t="n">
        <x:v>414.2</x:v>
      </x:c>
      <x:c r="I12" s="22" t="str">
        <x:v>USD</x:v>
      </x:c>
      <x:c r="J12" s="25"/>
      <x:c r="K12" s="24" t="n">
        <x:v>406.075</x:v>
      </x:c>
      <x:c r="L12" s="36" t="str">
        <x:f>IF(I12="DKK",1,IFERROR(XLOOKUP(I12,FX!$A$2:$A$20,FX!$B$2:$B$20,""),""))</x:f>
      </x:c>
      <x:c r="M12" s="32" t="n">
        <x:f>IFERROR(G12*H12*J12,"")</x:f>
        <x:v>0</x:v>
      </x:c>
      <x:c r="N12" s="32" t="n">
        <x:f>IFERROR(G12*K12*L12,"")</x:f>
        <x:v>0</x:v>
      </x:c>
      <x:c r="O12" s="33" t="n">
        <x:f>IFERROR(K12/H12-1,"")</x:f>
        <x:v>-0.019616127474649914</x:v>
      </x:c>
      <x:c r="P12" s="33" t="str">
        <x:f>IFERROR(L12/J12-1,"")</x:f>
      </x:c>
      <x:c r="Q12" s="32" t="n">
        <x:f>IFERROR(N12-M12,"")</x:f>
        <x:v>0</x:v>
      </x:c>
      <x:c r="R12" s="33" t="str">
        <x:f>IFERROR(N12/M12-1,"")</x:f>
      </x:c>
      <x:c r="S12" s="33" t="n">
        <x:f>IF(W12=TRUE,IFERROR(N12/SUMIFS($N$2:$N$500,$W$2:$W$500,TRUE),0),0)</x:f>
        <x:v>0</x:v>
      </x:c>
      <x:c r="T12" s="22" t="str">
        <x:v>Teknologi</x:v>
      </x:c>
      <x:c r="U12" s="22" t="str">
        <x:v>ASK</x:v>
      </x:c>
      <x:c r="V12" s="30" t="b">
        <x:v>1</x:v>
      </x:c>
      <x:c r="W12" s="30" t="b">
        <x:v>1</x:v>
      </x:c>
      <x:c r="X12" s="22" t="str">
        <x:v>Manual/Market data</x:v>
      </x:c>
      <x:c r="Y12" s="22" t="str">
        <x:v>FX sheet</x:v>
      </x:c>
      <x:c r="Z12" s="22" t="str"/>
      <x:c r="AA12" s="38" t="str"/>
      <x:c r="AB12" s="38" t="str"/>
    </x:row>
    <x:row r="13">
      <x:c r="A13" s="22" t="str">
        <x:v>A012</x:v>
      </x:c>
      <x:c r="B13" s="22" t="str">
        <x:v>Stock</x:v>
      </x:c>
      <x:c r="C13" s="38" t="str">
        <x:v>UNITED HEALTH GROUP INCORPORATED</x:v>
      </x:c>
      <x:c r="D13" s="22" t="str">
        <x:v>UNH:XETR</x:v>
      </x:c>
      <x:c r="E13" s="22" t="str">
        <x:v>UNH.DE</x:v>
      </x:c>
      <x:c r="F13" s="22" t="str"/>
      <x:c r="G13" s="23" t="n">
        <x:v>3</x:v>
      </x:c>
      <x:c r="H13" s="24" t="n">
        <x:v>366.4</x:v>
      </x:c>
      <x:c r="I13" s="22" t="str">
        <x:v>EUR</x:v>
      </x:c>
      <x:c r="J13" s="25"/>
      <x:c r="K13" s="24" t="n">
        <x:v>366.6</x:v>
      </x:c>
      <x:c r="L13" s="36" t="str">
        <x:f>IF(I13="DKK",1,IFERROR(XLOOKUP(I13,FX!$A$2:$A$20,FX!$B$2:$B$20,""),""))</x:f>
      </x:c>
      <x:c r="M13" s="32" t="n">
        <x:f>IFERROR(G13*H13*J13,"")</x:f>
        <x:v>0</x:v>
      </x:c>
      <x:c r="N13" s="32" t="n">
        <x:f>IFERROR(G13*K13*L13,"")</x:f>
        <x:v>0</x:v>
      </x:c>
      <x:c r="O13" s="33" t="n">
        <x:f>IFERROR(K13/H13-1,"")</x:f>
        <x:v>0.0005458515283844889</x:v>
      </x:c>
      <x:c r="P13" s="33" t="str">
        <x:f>IFERROR(L13/J13-1,"")</x:f>
      </x:c>
      <x:c r="Q13" s="32" t="n">
        <x:f>IFERROR(N13-M13,"")</x:f>
        <x:v>0</x:v>
      </x:c>
      <x:c r="R13" s="33" t="str">
        <x:f>IFERROR(N13/M13-1,"")</x:f>
      </x:c>
      <x:c r="S13" s="33" t="n">
        <x:f>IF(W13=TRUE,IFERROR(N13/SUMIFS($N$2:$N$500,$W$2:$W$500,TRUE),0),0)</x:f>
        <x:v>0</x:v>
      </x:c>
      <x:c r="T13" s="22" t="str">
        <x:v>Sundhed</x:v>
      </x:c>
      <x:c r="U13" s="22" t="str">
        <x:v>ASK</x:v>
      </x:c>
      <x:c r="V13" s="30" t="b">
        <x:v>1</x:v>
      </x:c>
      <x:c r="W13" s="30" t="b">
        <x:v>1</x:v>
      </x:c>
      <x:c r="X13" s="22" t="str">
        <x:v>Manual/Market data</x:v>
      </x:c>
      <x:c r="Y13" s="22" t="str">
        <x:v>FX sheet</x:v>
      </x:c>
      <x:c r="Z13" s="22" t="str"/>
      <x:c r="AA13" s="38" t="str"/>
      <x:c r="AB13" s="38" t="str"/>
    </x:row>
    <x:row r="14">
      <x:c r="A14" s="22" t="str">
        <x:v>A013</x:v>
      </x:c>
      <x:c r="B14" s="22" t="str">
        <x:v>Stock</x:v>
      </x:c>
      <x:c r="C14" s="38" t="str">
        <x:v>Vestas Wind System</x:v>
      </x:c>
      <x:c r="D14" s="22" t="str">
        <x:v>VWS:XCSE</x:v>
      </x:c>
      <x:c r="E14" s="22" t="str">
        <x:v>VWS.CO</x:v>
      </x:c>
      <x:c r="F14" s="22" t="str"/>
      <x:c r="G14" s="23" t="n">
        <x:v>108</x:v>
      </x:c>
      <x:c r="H14" s="24" t="n">
        <x:v>145.84</x:v>
      </x:c>
      <x:c r="I14" s="22" t="str">
        <x:v>DKK</x:v>
      </x:c>
      <x:c r="J14" s="25" t="n">
        <x:v>1</x:v>
      </x:c>
      <x:c r="K14" s="24" t="n">
        <x:v>169.4</x:v>
      </x:c>
      <x:c r="L14" s="36" t="n">
        <x:f>IF(I14="DKK",1,IFERROR(XLOOKUP(I14,FX!$A$2:$A$20,FX!$B$2:$B$20,""),""))</x:f>
        <x:v>1</x:v>
      </x:c>
      <x:c r="M14" s="32" t="n">
        <x:f>IFERROR(G14*H14*J14,"")</x:f>
        <x:v>15750.720000000001</x:v>
      </x:c>
      <x:c r="N14" s="32" t="n">
        <x:f>IFERROR(G14*K14*L14,"")</x:f>
        <x:v>18295.2</x:v>
      </x:c>
      <x:c r="O14" s="33" t="n">
        <x:f>IFERROR(K14/H14-1,"")</x:f>
        <x:v>0.1615469007131103</x:v>
      </x:c>
      <x:c r="P14" s="33" t="n">
        <x:f>IFERROR(L14/J14-1,"")</x:f>
        <x:v>0</x:v>
      </x:c>
      <x:c r="Q14" s="32" t="n">
        <x:f>IFERROR(N14-M14,"")</x:f>
        <x:v>2544.4799999999996</x:v>
      </x:c>
      <x:c r="R14" s="33" t="n">
        <x:f>IFERROR(N14/M14-1,"")</x:f>
        <x:v>0.1615469007131103</x:v>
      </x:c>
      <x:c r="S14" s="33" t="n">
        <x:f>IF(W14=TRUE,IFERROR(N14/SUMIFS($N$2:$N$500,$W$2:$W$500,TRUE),0),0)</x:f>
        <x:v>0</x:v>
      </x:c>
      <x:c r="T14" s="22" t="str">
        <x:v>Vedvarende energi</x:v>
      </x:c>
      <x:c r="U14" s="22" t="str">
        <x:v>ASK</x:v>
      </x:c>
      <x:c r="V14" s="30" t="b">
        <x:v>1</x:v>
      </x:c>
      <x:c r="W14" s="30" t="b">
        <x:v>1</x:v>
      </x:c>
      <x:c r="X14" s="22" t="str">
        <x:v>Manual/Market data</x:v>
      </x:c>
      <x:c r="Y14" s="22" t="str">
        <x:v>FX sheet</x:v>
      </x:c>
      <x:c r="Z14" s="22" t="str"/>
      <x:c r="AA14" s="38" t="str"/>
      <x:c r="AB14" s="38" t="str"/>
    </x:row>
    <x:row r="15">
      <x:c r="A15" s="22" t="str">
        <x:v>A014</x:v>
      </x:c>
      <x:c r="B15" s="22" t="str">
        <x:v>ETF</x:v>
      </x:c>
      <x:c r="C15" s="38" t="str">
        <x:v>Global X Copper Miners UCITS ETF</x:v>
      </x:c>
      <x:c r="D15" s="22" t="str">
        <x:v>COPX.L</x:v>
      </x:c>
      <x:c r="E15" s="22" t="str">
        <x:v>COPX.L</x:v>
      </x:c>
      <x:c r="F15" s="22" t="str"/>
      <x:c r="G15" s="23" t="n">
        <x:v>37</x:v>
      </x:c>
      <x:c r="H15" s="24" t="n">
        <x:v>58.79</x:v>
      </x:c>
      <x:c r="I15" s="22" t="str">
        <x:v>USD</x:v>
      </x:c>
      <x:c r="J15" s="25"/>
      <x:c r="K15" s="24" t="n">
        <x:v>53</x:v>
      </x:c>
      <x:c r="L15" s="36" t="str">
        <x:f>IF(I15="DKK",1,IFERROR(XLOOKUP(I15,FX!$A$2:$A$20,FX!$B$2:$B$20,""),""))</x:f>
      </x:c>
      <x:c r="M15" s="32" t="n">
        <x:f>IFERROR(G15*H15*J15,"")</x:f>
        <x:v>0</x:v>
      </x:c>
      <x:c r="N15" s="32" t="n">
        <x:f>IFERROR(G15*K15*L15,"")</x:f>
        <x:v>0</x:v>
      </x:c>
      <x:c r="O15" s="33" t="n">
        <x:f>IFERROR(K15/H15-1,"")</x:f>
        <x:v>-0.09848613709814591</x:v>
      </x:c>
      <x:c r="P15" s="33" t="str">
        <x:f>IFERROR(L15/J15-1,"")</x:f>
      </x:c>
      <x:c r="Q15" s="32" t="n">
        <x:f>IFERROR(N15-M15,"")</x:f>
        <x:v>0</x:v>
      </x:c>
      <x:c r="R15" s="33" t="str">
        <x:f>IFERROR(N15/M15-1,"")</x:f>
      </x:c>
      <x:c r="S15" s="33" t="n">
        <x:f>IF(W15=TRUE,IFERROR(N15/SUMIFS($N$2:$N$500,$W$2:$W$500,TRUE),0),0)</x:f>
        <x:v>0</x:v>
      </x:c>
      <x:c r="T15" s="22" t="str">
        <x:v>Materialer</x:v>
      </x:c>
      <x:c r="U15" s="22" t="str">
        <x:v>ASK</x:v>
      </x:c>
      <x:c r="V15" s="30" t="b">
        <x:v>1</x:v>
      </x:c>
      <x:c r="W15" s="30" t="b">
        <x:v>1</x:v>
      </x:c>
      <x:c r="X15" s="22" t="str">
        <x:v>Manual/Market data</x:v>
      </x:c>
      <x:c r="Y15" s="22" t="str">
        <x:v>FX sheet</x:v>
      </x:c>
      <x:c r="Z15" s="22" t="str"/>
      <x:c r="AA15" s="38" t="str">
        <x:v>VERIFY_CURRENCY</x:v>
      </x:c>
      <x:c r="AB15" s="38" t="str"/>
    </x:row>
    <x:row r="16">
      <x:c r="A16" s="22" t="str">
        <x:v>A015</x:v>
      </x:c>
      <x:c r="B16" s="22" t="str">
        <x:v>ETF</x:v>
      </x:c>
      <x:c r="C16" s="38" t="str">
        <x:v>Global X U.S Infrastructure Development UCITS ETF</x:v>
      </x:c>
      <x:c r="D16" s="22" t="str">
        <x:v>94VE.DE</x:v>
      </x:c>
      <x:c r="E16" s="22" t="str">
        <x:v>94VE.DE</x:v>
      </x:c>
      <x:c r="F16" s="22" t="str"/>
      <x:c r="G16" s="23" t="n">
        <x:v>74</x:v>
      </x:c>
      <x:c r="H16" s="24" t="n">
        <x:v>44.308</x:v>
      </x:c>
      <x:c r="I16" s="22" t="str">
        <x:v>EUR</x:v>
      </x:c>
      <x:c r="J16" s="25"/>
      <x:c r="K16" s="24" t="n">
        <x:v>47.48</x:v>
      </x:c>
      <x:c r="L16" s="36" t="str">
        <x:f>IF(I16="DKK",1,IFERROR(XLOOKUP(I16,FX!$A$2:$A$20,FX!$B$2:$B$20,""),""))</x:f>
      </x:c>
      <x:c r="M16" s="32" t="n">
        <x:f>IFERROR(G16*H16*J16,"")</x:f>
        <x:v>0</x:v>
      </x:c>
      <x:c r="N16" s="32" t="n">
        <x:f>IFERROR(G16*K16*L16,"")</x:f>
        <x:v>0</x:v>
      </x:c>
      <x:c r="O16" s="33" t="n">
        <x:f>IFERROR(K16/H16-1,"")</x:f>
        <x:v>0.07158978062652332</x:v>
      </x:c>
      <x:c r="P16" s="33" t="str">
        <x:f>IFERROR(L16/J16-1,"")</x:f>
      </x:c>
      <x:c r="Q16" s="32" t="n">
        <x:f>IFERROR(N16-M16,"")</x:f>
        <x:v>0</x:v>
      </x:c>
      <x:c r="R16" s="33" t="str">
        <x:f>IFERROR(N16/M16-1,"")</x:f>
      </x:c>
      <x:c r="S16" s="33" t="n">
        <x:f>IF(W16=TRUE,IFERROR(N16/SUMIFS($N$2:$N$500,$W$2:$W$500,TRUE),0),0)</x:f>
        <x:v>0</x:v>
      </x:c>
      <x:c r="T16" s="22" t="str">
        <x:v>Infrastruktur</x:v>
      </x:c>
      <x:c r="U16" s="22" t="str">
        <x:v>ASK</x:v>
      </x:c>
      <x:c r="V16" s="30" t="b">
        <x:v>1</x:v>
      </x:c>
      <x:c r="W16" s="30" t="b">
        <x:v>1</x:v>
      </x:c>
      <x:c r="X16" s="22" t="str">
        <x:v>Manual/Market data</x:v>
      </x:c>
      <x:c r="Y16" s="22" t="str">
        <x:v>FX sheet</x:v>
      </x:c>
      <x:c r="Z16" s="22" t="str"/>
      <x:c r="AA16" s="38" t="str"/>
      <x:c r="AB16" s="38" t="str"/>
    </x:row>
    <x:row r="17">
      <x:c r="A17" s="22" t="str">
        <x:v>A016</x:v>
      </x:c>
      <x:c r="B17" s="22" t="str">
        <x:v>ETF</x:v>
      </x:c>
      <x:c r="C17" s="38" t="str">
        <x:v>Global X Uranium UCITS ETF</x:v>
      </x:c>
      <x:c r="D17" s="22" t="str">
        <x:v>URNU.DE</x:v>
      </x:c>
      <x:c r="E17" s="22" t="str">
        <x:v>URNU.DE</x:v>
      </x:c>
      <x:c r="F17" s="22" t="str"/>
      <x:c r="G17" s="23" t="n">
        <x:v>52</x:v>
      </x:c>
      <x:c r="H17" s="24" t="n">
        <x:v>28.96</x:v>
      </x:c>
      <x:c r="I17" s="22" t="str">
        <x:v>EUR</x:v>
      </x:c>
      <x:c r="J17" s="25"/>
      <x:c r="K17" s="24" t="n">
        <x:v>21</x:v>
      </x:c>
      <x:c r="L17" s="36" t="str">
        <x:f>IF(I17="DKK",1,IFERROR(XLOOKUP(I17,FX!$A$2:$A$20,FX!$B$2:$B$20,""),""))</x:f>
      </x:c>
      <x:c r="M17" s="32" t="n">
        <x:f>IFERROR(G17*H17*J17,"")</x:f>
        <x:v>0</x:v>
      </x:c>
      <x:c r="N17" s="32" t="n">
        <x:f>IFERROR(G17*K17*L17,"")</x:f>
        <x:v>0</x:v>
      </x:c>
      <x:c r="O17" s="33" t="n">
        <x:f>IFERROR(K17/H17-1,"")</x:f>
        <x:v>-0.27486187845303867</x:v>
      </x:c>
      <x:c r="P17" s="33" t="str">
        <x:f>IFERROR(L17/J17-1,"")</x:f>
      </x:c>
      <x:c r="Q17" s="32" t="n">
        <x:f>IFERROR(N17-M17,"")</x:f>
        <x:v>0</x:v>
      </x:c>
      <x:c r="R17" s="33" t="str">
        <x:f>IFERROR(N17/M17-1,"")</x:f>
      </x:c>
      <x:c r="S17" s="33" t="n">
        <x:f>IF(W17=TRUE,IFERROR(N17/SUMIFS($N$2:$N$500,$W$2:$W$500,TRUE),0),0)</x:f>
        <x:v>0</x:v>
      </x:c>
      <x:c r="T17" s="22" t="str">
        <x:v>Vedvarende energi</x:v>
      </x:c>
      <x:c r="U17" s="22" t="str">
        <x:v>ASK</x:v>
      </x:c>
      <x:c r="V17" s="30" t="b">
        <x:v>1</x:v>
      </x:c>
      <x:c r="W17" s="30" t="b">
        <x:v>1</x:v>
      </x:c>
      <x:c r="X17" s="22" t="str">
        <x:v>Manual/Market data</x:v>
      </x:c>
      <x:c r="Y17" s="22" t="str">
        <x:v>FX sheet</x:v>
      </x:c>
      <x:c r="Z17" s="22" t="str"/>
      <x:c r="AA17" s="38" t="str"/>
      <x:c r="AB17" s="38" t="str"/>
    </x:row>
    <x:row r="18">
      <x:c r="A18" s="22" t="str">
        <x:v>A017</x:v>
      </x:c>
      <x:c r="B18" s="22" t="str">
        <x:v>ETF</x:v>
      </x:c>
      <x:c r="C18" s="38" t="str">
        <x:v>iShs Global Clean Energy ETF</x:v>
      </x:c>
      <x:c r="D18" s="22" t="str">
        <x:v>IQQH.DE</x:v>
      </x:c>
      <x:c r="E18" s="22" t="str">
        <x:v>IQQH.DE</x:v>
      </x:c>
      <x:c r="F18" s="22" t="str"/>
      <x:c r="G18" s="23" t="n">
        <x:v>185</x:v>
      </x:c>
      <x:c r="H18" s="24" t="n">
        <x:v>10.622</x:v>
      </x:c>
      <x:c r="I18" s="22" t="str">
        <x:v>EUR</x:v>
      </x:c>
      <x:c r="J18" s="25"/>
      <x:c r="K18" s="24" t="n">
        <x:v>9.3</x:v>
      </x:c>
      <x:c r="L18" s="36" t="str">
        <x:f>IF(I18="DKK",1,IFERROR(XLOOKUP(I18,FX!$A$2:$A$20,FX!$B$2:$B$20,""),""))</x:f>
      </x:c>
      <x:c r="M18" s="32" t="n">
        <x:f>IFERROR(G18*H18*J18,"")</x:f>
        <x:v>0</x:v>
      </x:c>
      <x:c r="N18" s="32" t="n">
        <x:f>IFERROR(G18*K18*L18,"")</x:f>
        <x:v>0</x:v>
      </x:c>
      <x:c r="O18" s="33" t="n">
        <x:f>IFERROR(K18/H18-1,"")</x:f>
        <x:v>-0.12445867068348704</x:v>
      </x:c>
      <x:c r="P18" s="33" t="str">
        <x:f>IFERROR(L18/J18-1,"")</x:f>
      </x:c>
      <x:c r="Q18" s="32" t="n">
        <x:f>IFERROR(N18-M18,"")</x:f>
        <x:v>0</x:v>
      </x:c>
      <x:c r="R18" s="33" t="str">
        <x:f>IFERROR(N18/M18-1,"")</x:f>
      </x:c>
      <x:c r="S18" s="33" t="n">
        <x:f>IF(W18=TRUE,IFERROR(N18/SUMIFS($N$2:$N$500,$W$2:$W$500,TRUE),0),0)</x:f>
        <x:v>0</x:v>
      </x:c>
      <x:c r="T18" s="22" t="str">
        <x:v>Vedvarende energi</x:v>
      </x:c>
      <x:c r="U18" s="22" t="str">
        <x:v>ASK</x:v>
      </x:c>
      <x:c r="V18" s="30" t="b">
        <x:v>1</x:v>
      </x:c>
      <x:c r="W18" s="30" t="b">
        <x:v>1</x:v>
      </x:c>
      <x:c r="X18" s="22" t="str">
        <x:v>Manual/Market data</x:v>
      </x:c>
      <x:c r="Y18" s="22" t="str">
        <x:v>FX sheet</x:v>
      </x:c>
      <x:c r="Z18" s="22" t="str"/>
      <x:c r="AA18" s="38" t="str"/>
      <x:c r="AB18" s="38" t="str"/>
    </x:row>
    <x:row r="19">
      <x:c r="A19" s="22" t="str">
        <x:v>A018</x:v>
      </x:c>
      <x:c r="B19" s="22" t="str">
        <x:v>ETF</x:v>
      </x:c>
      <x:c r="C19" s="38" t="str">
        <x:v>iShs MSCI Global Semiconductors UCITS ETF</x:v>
      </x:c>
      <x:c r="D19" s="22" t="str">
        <x:v>SEC0.DE</x:v>
      </x:c>
      <x:c r="E19" s="22" t="str">
        <x:v>SEC0.DE</x:v>
      </x:c>
      <x:c r="F19" s="22" t="str"/>
      <x:c r="G19" s="23" t="n">
        <x:v>413</x:v>
      </x:c>
      <x:c r="H19" s="24" t="n">
        <x:v>9.62</x:v>
      </x:c>
      <x:c r="I19" s="22" t="str">
        <x:v>EUR</x:v>
      </x:c>
      <x:c r="J19" s="25"/>
      <x:c r="K19" s="24" t="n">
        <x:v>16</x:v>
      </x:c>
      <x:c r="L19" s="36" t="str">
        <x:f>IF(I19="DKK",1,IFERROR(XLOOKUP(I19,FX!$A$2:$A$20,FX!$B$2:$B$20,""),""))</x:f>
      </x:c>
      <x:c r="M19" s="32" t="n">
        <x:f>IFERROR(G19*H19*J19,"")</x:f>
        <x:v>0</x:v>
      </x:c>
      <x:c r="N19" s="32" t="n">
        <x:f>IFERROR(G19*K19*L19,"")</x:f>
        <x:v>0</x:v>
      </x:c>
      <x:c r="O19" s="33" t="n">
        <x:f>IFERROR(K19/H19-1,"")</x:f>
        <x:v>0.6632016632016633</x:v>
      </x:c>
      <x:c r="P19" s="33" t="str">
        <x:f>IFERROR(L19/J19-1,"")</x:f>
      </x:c>
      <x:c r="Q19" s="32" t="n">
        <x:f>IFERROR(N19-M19,"")</x:f>
        <x:v>0</x:v>
      </x:c>
      <x:c r="R19" s="33" t="str">
        <x:f>IFERROR(N19/M19-1,"")</x:f>
      </x:c>
      <x:c r="S19" s="33" t="n">
        <x:f>IF(W19=TRUE,IFERROR(N19/SUMIFS($N$2:$N$500,$W$2:$W$500,TRUE),0),0)</x:f>
        <x:v>0</x:v>
      </x:c>
      <x:c r="T19" s="22" t="str">
        <x:v>Teknologi</x:v>
      </x:c>
      <x:c r="U19" s="22" t="str">
        <x:v>ASK</x:v>
      </x:c>
      <x:c r="V19" s="30" t="b">
        <x:v>1</x:v>
      </x:c>
      <x:c r="W19" s="30" t="b">
        <x:v>1</x:v>
      </x:c>
      <x:c r="X19" s="22" t="str">
        <x:v>Manual/Market data</x:v>
      </x:c>
      <x:c r="Y19" s="22" t="str">
        <x:v>FX sheet</x:v>
      </x:c>
      <x:c r="Z19" s="22" t="str"/>
      <x:c r="AA19" s="38" t="str"/>
      <x:c r="AB19" s="38" t="str"/>
    </x:row>
    <x:row r="20">
      <x:c r="A20" s="22" t="str">
        <x:v>A019</x:v>
      </x:c>
      <x:c r="B20" s="22" t="str">
        <x:v>ETF</x:v>
      </x:c>
      <x:c r="C20" s="38" t="str">
        <x:v>iShares MSCI Korea UCITS ETF</x:v>
      </x:c>
      <x:c r="D20" s="22" t="str">
        <x:v>IQQK.DE</x:v>
      </x:c>
      <x:c r="E20" s="22" t="str">
        <x:v>IQQK.DE</x:v>
      </x:c>
      <x:c r="F20" s="22" t="str"/>
      <x:c r="G20" s="23" t="n">
        <x:v>19</x:v>
      </x:c>
      <x:c r="H20" s="24" t="n">
        <x:v>114.159</x:v>
      </x:c>
      <x:c r="I20" s="22" t="str">
        <x:v>EUR</x:v>
      </x:c>
      <x:c r="J20" s="25"/>
      <x:c r="K20" s="24" t="n">
        <x:v>100</x:v>
      </x:c>
      <x:c r="L20" s="36" t="str">
        <x:f>IF(I20="DKK",1,IFERROR(XLOOKUP(I20,FX!$A$2:$A$20,FX!$B$2:$B$20,""),""))</x:f>
      </x:c>
      <x:c r="M20" s="32" t="n">
        <x:f>IFERROR(G20*H20*J20,"")</x:f>
        <x:v>0</x:v>
      </x:c>
      <x:c r="N20" s="32" t="n">
        <x:f>IFERROR(G20*K20*L20,"")</x:f>
        <x:v>0</x:v>
      </x:c>
      <x:c r="O20" s="33" t="n">
        <x:f>IFERROR(K20/H20-1,"")</x:f>
        <x:v>-0.12402876689529518</x:v>
      </x:c>
      <x:c r="P20" s="33" t="str">
        <x:f>IFERROR(L20/J20-1,"")</x:f>
      </x:c>
      <x:c r="Q20" s="32" t="n">
        <x:f>IFERROR(N20-M20,"")</x:f>
        <x:v>0</x:v>
      </x:c>
      <x:c r="R20" s="33" t="str">
        <x:f>IFERROR(N20/M20-1,"")</x:f>
      </x:c>
      <x:c r="S20" s="33" t="n">
        <x:f>IF(W20=TRUE,IFERROR(N20/SUMIFS($N$2:$N$500,$W$2:$W$500,TRUE),0),0)</x:f>
        <x:v>0</x:v>
      </x:c>
      <x:c r="T20" s="22" t="str">
        <x:v>Teknologi</x:v>
      </x:c>
      <x:c r="U20" s="22" t="str">
        <x:v>ASK</x:v>
      </x:c>
      <x:c r="V20" s="30" t="b">
        <x:v>1</x:v>
      </x:c>
      <x:c r="W20" s="30" t="b">
        <x:v>1</x:v>
      </x:c>
      <x:c r="X20" s="22" t="str">
        <x:v>Manual/Market data</x:v>
      </x:c>
      <x:c r="Y20" s="22" t="str">
        <x:v>FX sheet</x:v>
      </x:c>
      <x:c r="Z20" s="22" t="str"/>
      <x:c r="AA20" s="38" t="str"/>
      <x:c r="AB20" s="38" t="str"/>
    </x:row>
    <x:row r="21">
      <x:c r="A21" s="22" t="str">
        <x:v>A020</x:v>
      </x:c>
      <x:c r="B21" s="22" t="str">
        <x:v>ETF</x:v>
      </x:c>
      <x:c r="C21" s="38" t="str">
        <x:v>iShares NASDAQ US Biotechnology UCITS ETF</x:v>
      </x:c>
      <x:c r="D21" s="22" t="str">
        <x:v>2B70.DE</x:v>
      </x:c>
      <x:c r="E21" s="22" t="str">
        <x:v>2B70.DE</x:v>
      </x:c>
      <x:c r="F21" s="22" t="str"/>
      <x:c r="G21" s="23" t="n">
        <x:v>154</x:v>
      </x:c>
      <x:c r="H21" s="24" t="n">
        <x:v>8.642</x:v>
      </x:c>
      <x:c r="I21" s="22" t="str">
        <x:v>EUR</x:v>
      </x:c>
      <x:c r="J21" s="25"/>
      <x:c r="K21" s="24" t="n">
        <x:v>8</x:v>
      </x:c>
      <x:c r="L21" s="36" t="str">
        <x:f>IF(I21="DKK",1,IFERROR(XLOOKUP(I21,FX!$A$2:$A$20,FX!$B$2:$B$20,""),""))</x:f>
      </x:c>
      <x:c r="M21" s="32" t="n">
        <x:f>IFERROR(G21*H21*J21,"")</x:f>
        <x:v>0</x:v>
      </x:c>
      <x:c r="N21" s="32" t="n">
        <x:f>IFERROR(G21*K21*L21,"")</x:f>
        <x:v>0</x:v>
      </x:c>
      <x:c r="O21" s="33" t="n">
        <x:f>IFERROR(K21/H21-1,"")</x:f>
        <x:v>-0.07428835917611654</x:v>
      </x:c>
      <x:c r="P21" s="33" t="str">
        <x:f>IFERROR(L21/J21-1,"")</x:f>
      </x:c>
      <x:c r="Q21" s="32" t="n">
        <x:f>IFERROR(N21-M21,"")</x:f>
        <x:v>0</x:v>
      </x:c>
      <x:c r="R21" s="33" t="str">
        <x:f>IFERROR(N21/M21-1,"")</x:f>
      </x:c>
      <x:c r="S21" s="33" t="n">
        <x:f>IF(W21=TRUE,IFERROR(N21/SUMIFS($N$2:$N$500,$W$2:$W$500,TRUE),0),0)</x:f>
        <x:v>0</x:v>
      </x:c>
      <x:c r="T21" s="22" t="str">
        <x:v>Bioteknologi</x:v>
      </x:c>
      <x:c r="U21" s="22" t="str">
        <x:v>ASK</x:v>
      </x:c>
      <x:c r="V21" s="30" t="b">
        <x:v>1</x:v>
      </x:c>
      <x:c r="W21" s="30" t="b">
        <x:v>1</x:v>
      </x:c>
      <x:c r="X21" s="22" t="str">
        <x:v>Manual/Market data</x:v>
      </x:c>
      <x:c r="Y21" s="22" t="str">
        <x:v>FX sheet</x:v>
      </x:c>
      <x:c r="Z21" s="22" t="str"/>
      <x:c r="AA21" s="38" t="str"/>
      <x:c r="AB21" s="38" t="str"/>
    </x:row>
    <x:row r="22">
      <x:c r="A22" s="22" t="str">
        <x:v>A021</x:v>
      </x:c>
      <x:c r="B22" s="22" t="str">
        <x:v>ETF</x:v>
      </x:c>
      <x:c r="C22" s="38" t="str">
        <x:v>VanEck Defense UCITS ETF</x:v>
      </x:c>
      <x:c r="D22" s="22" t="str">
        <x:v>DFEN.DE</x:v>
      </x:c>
      <x:c r="E22" s="22" t="str">
        <x:v>DFEN.DE</x:v>
      </x:c>
      <x:c r="F22" s="22" t="str"/>
      <x:c r="G22" s="23" t="n">
        <x:v>44</x:v>
      </x:c>
      <x:c r="H22" s="24" t="n">
        <x:v>56.9</x:v>
      </x:c>
      <x:c r="I22" s="22" t="str">
        <x:v>EUR</x:v>
      </x:c>
      <x:c r="J22" s="25"/>
      <x:c r="K22" s="24" t="n">
        <x:v>53</x:v>
      </x:c>
      <x:c r="L22" s="36" t="str">
        <x:f>IF(I22="DKK",1,IFERROR(XLOOKUP(I22,FX!$A$2:$A$20,FX!$B$2:$B$20,""),""))</x:f>
      </x:c>
      <x:c r="M22" s="32" t="n">
        <x:f>IFERROR(G22*H22*J22,"")</x:f>
        <x:v>0</x:v>
      </x:c>
      <x:c r="N22" s="32" t="n">
        <x:f>IFERROR(G22*K22*L22,"")</x:f>
        <x:v>0</x:v>
      </x:c>
      <x:c r="O22" s="33" t="n">
        <x:f>IFERROR(K22/H22-1,"")</x:f>
        <x:v>-0.06854130052724072</x:v>
      </x:c>
      <x:c r="P22" s="33" t="str">
        <x:f>IFERROR(L22/J22-1,"")</x:f>
      </x:c>
      <x:c r="Q22" s="32" t="n">
        <x:f>IFERROR(N22-M22,"")</x:f>
        <x:v>0</x:v>
      </x:c>
      <x:c r="R22" s="33" t="str">
        <x:f>IFERROR(N22/M22-1,"")</x:f>
      </x:c>
      <x:c r="S22" s="33" t="n">
        <x:f>IF(W22=TRUE,IFERROR(N22/SUMIFS($N$2:$N$500,$W$2:$W$500,TRUE),0),0)</x:f>
        <x:v>0</x:v>
      </x:c>
      <x:c r="T22" s="22" t="str">
        <x:v>Forsvar</x:v>
      </x:c>
      <x:c r="U22" s="22" t="str">
        <x:v>ASK</x:v>
      </x:c>
      <x:c r="V22" s="30" t="b">
        <x:v>1</x:v>
      </x:c>
      <x:c r="W22" s="30" t="b">
        <x:v>1</x:v>
      </x:c>
      <x:c r="X22" s="22" t="str">
        <x:v>Manual/Market data</x:v>
      </x:c>
      <x:c r="Y22" s="22" t="str">
        <x:v>FX sheet</x:v>
      </x:c>
      <x:c r="Z22" s="22" t="str"/>
      <x:c r="AA22" s="38" t="str"/>
      <x:c r="AB22" s="38" t="str"/>
    </x:row>
    <x:row r="23">
      <x:c r="A23" s="22" t="str">
        <x:v>A022</x:v>
      </x:c>
      <x:c r="B23" s="22" t="str">
        <x:v>ETF</x:v>
      </x:c>
      <x:c r="C23" s="38" t="str">
        <x:v>VanEck Quantum Computing UCITS ETF</x:v>
      </x:c>
      <x:c r="D23" s="22" t="str">
        <x:v>QUTM.DE</x:v>
      </x:c>
      <x:c r="E23" s="22" t="str">
        <x:v>QUTM.DE</x:v>
      </x:c>
      <x:c r="F23" s="22" t="str"/>
      <x:c r="G23" s="23" t="n">
        <x:v>47</x:v>
      </x:c>
      <x:c r="H23" s="24" t="n">
        <x:v>27.972</x:v>
      </x:c>
      <x:c r="I23" s="22" t="str">
        <x:v>EUR</x:v>
      </x:c>
      <x:c r="J23" s="25"/>
      <x:c r="K23" s="24" t="n">
        <x:v>24</x:v>
      </x:c>
      <x:c r="L23" s="36" t="str">
        <x:f>IF(I23="DKK",1,IFERROR(XLOOKUP(I23,FX!$A$2:$A$20,FX!$B$2:$B$20,""),""))</x:f>
      </x:c>
      <x:c r="M23" s="32" t="n">
        <x:f>IFERROR(G23*H23*J23,"")</x:f>
        <x:v>0</x:v>
      </x:c>
      <x:c r="N23" s="32" t="n">
        <x:f>IFERROR(G23*K23*L23,"")</x:f>
        <x:v>0</x:v>
      </x:c>
      <x:c r="O23" s="33" t="n">
        <x:f>IFERROR(K23/H23-1,"")</x:f>
        <x:v>-0.141999141999142</x:v>
      </x:c>
      <x:c r="P23" s="33" t="str">
        <x:f>IFERROR(L23/J23-1,"")</x:f>
      </x:c>
      <x:c r="Q23" s="32" t="n">
        <x:f>IFERROR(N23-M23,"")</x:f>
        <x:v>0</x:v>
      </x:c>
      <x:c r="R23" s="33" t="str">
        <x:f>IFERROR(N23/M23-1,"")</x:f>
      </x:c>
      <x:c r="S23" s="33" t="n">
        <x:f>IF(W23=TRUE,IFERROR(N23/SUMIFS($N$2:$N$500,$W$2:$W$500,TRUE),0),0)</x:f>
        <x:v>0</x:v>
      </x:c>
      <x:c r="T23" s="22" t="str">
        <x:v>Teknologi</x:v>
      </x:c>
      <x:c r="U23" s="22" t="str">
        <x:v>ASK</x:v>
      </x:c>
      <x:c r="V23" s="30" t="b">
        <x:v>1</x:v>
      </x:c>
      <x:c r="W23" s="30" t="b">
        <x:v>1</x:v>
      </x:c>
      <x:c r="X23" s="22" t="str">
        <x:v>Manual/Market data</x:v>
      </x:c>
      <x:c r="Y23" s="22" t="str">
        <x:v>FX sheet</x:v>
      </x:c>
      <x:c r="Z23" s="22" t="str"/>
      <x:c r="AA23" s="38" t="str"/>
      <x:c r="AB23" s="38" t="str"/>
    </x:row>
    <x:row r="24">
      <x:c r="A24" s="22" t="str">
        <x:v>A023</x:v>
      </x:c>
      <x:c r="B24" s="22" t="str">
        <x:v>ETF</x:v>
      </x:c>
      <x:c r="C24" s="38" t="str">
        <x:v>VanEck Rare Earth and Strategic Metals UCITS ETF</x:v>
      </x:c>
      <x:c r="D24" s="22" t="str">
        <x:v>VVMX.DE</x:v>
      </x:c>
      <x:c r="E24" s="22" t="str">
        <x:v>VVMX.DE</x:v>
      </x:c>
      <x:c r="F24" s="22" t="str"/>
      <x:c r="G24" s="23" t="n">
        <x:v>161</x:v>
      </x:c>
      <x:c r="H24" s="24" t="n">
        <x:v>16.594</x:v>
      </x:c>
      <x:c r="I24" s="22" t="str">
        <x:v>EUR</x:v>
      </x:c>
      <x:c r="J24" s="25"/>
      <x:c r="K24" s="24" t="n">
        <x:v>12</x:v>
      </x:c>
      <x:c r="L24" s="36" t="str">
        <x:f>IF(I24="DKK",1,IFERROR(XLOOKUP(I24,FX!$A$2:$A$20,FX!$B$2:$B$20,""),""))</x:f>
      </x:c>
      <x:c r="M24" s="32" t="n">
        <x:f>IFERROR(G24*H24*J24,"")</x:f>
        <x:v>0</x:v>
      </x:c>
      <x:c r="N24" s="32" t="n">
        <x:f>IFERROR(G24*K24*L24,"")</x:f>
        <x:v>0</x:v>
      </x:c>
      <x:c r="O24" s="33" t="n">
        <x:f>IFERROR(K24/H24-1,"")</x:f>
        <x:v>-0.27684705315174163</x:v>
      </x:c>
      <x:c r="P24" s="33" t="str">
        <x:f>IFERROR(L24/J24-1,"")</x:f>
      </x:c>
      <x:c r="Q24" s="32" t="n">
        <x:f>IFERROR(N24-M24,"")</x:f>
        <x:v>0</x:v>
      </x:c>
      <x:c r="R24" s="33" t="str">
        <x:f>IFERROR(N24/M24-1,"")</x:f>
      </x:c>
      <x:c r="S24" s="33" t="n">
        <x:f>IF(W24=TRUE,IFERROR(N24/SUMIFS($N$2:$N$500,$W$2:$W$500,TRUE),0),0)</x:f>
        <x:v>0</x:v>
      </x:c>
      <x:c r="T24" s="22" t="str">
        <x:v>Materialer</x:v>
      </x:c>
      <x:c r="U24" s="22" t="str">
        <x:v>ASK</x:v>
      </x:c>
      <x:c r="V24" s="30" t="b">
        <x:v>1</x:v>
      </x:c>
      <x:c r="W24" s="30" t="b">
        <x:v>1</x:v>
      </x:c>
      <x:c r="X24" s="22" t="str">
        <x:v>Manual/Market data</x:v>
      </x:c>
      <x:c r="Y24" s="22" t="str">
        <x:v>FX sheet</x:v>
      </x:c>
      <x:c r="Z24" s="22" t="str"/>
      <x:c r="AA24" s="38" t="str"/>
      <x:c r="AB24" s="38" t="str"/>
    </x:row>
    <x:row r="25">
      <x:c r="A25" s="22" t="str">
        <x:v>A024</x:v>
      </x:c>
      <x:c r="B25" s="22" t="str">
        <x:v>ETF</x:v>
      </x:c>
      <x:c r="C25" s="38" t="str">
        <x:v>VanEck S&amp;P Global Mining UCITS ETF</x:v>
      </x:c>
      <x:c r="D25" s="22" t="str">
        <x:v>WMIN.DE</x:v>
      </x:c>
      <x:c r="E25" s="22" t="str">
        <x:v>WMIN.DE</x:v>
      </x:c>
      <x:c r="F25" s="22" t="str"/>
      <x:c r="G25" s="23" t="n">
        <x:v>46</x:v>
      </x:c>
      <x:c r="H25" s="24" t="n">
        <x:v>55.45</x:v>
      </x:c>
      <x:c r="I25" s="22" t="str">
        <x:v>EUR</x:v>
      </x:c>
      <x:c r="J25" s="25"/>
      <x:c r="K25" s="24" t="n">
        <x:v>50</x:v>
      </x:c>
      <x:c r="L25" s="36" t="str">
        <x:f>IF(I25="DKK",1,IFERROR(XLOOKUP(I25,FX!$A$2:$A$20,FX!$B$2:$B$20,""),""))</x:f>
      </x:c>
      <x:c r="M25" s="32" t="n">
        <x:f>IFERROR(G25*H25*J25,"")</x:f>
        <x:v>0</x:v>
      </x:c>
      <x:c r="N25" s="32" t="n">
        <x:f>IFERROR(G25*K25*L25,"")</x:f>
        <x:v>0</x:v>
      </x:c>
      <x:c r="O25" s="33" t="n">
        <x:f>IFERROR(K25/H25-1,"")</x:f>
        <x:v>-0.09828674481514887</x:v>
      </x:c>
      <x:c r="P25" s="33" t="str">
        <x:f>IFERROR(L25/J25-1,"")</x:f>
      </x:c>
      <x:c r="Q25" s="32" t="n">
        <x:f>IFERROR(N25-M25,"")</x:f>
        <x:v>0</x:v>
      </x:c>
      <x:c r="R25" s="33" t="str">
        <x:f>IFERROR(N25/M25-1,"")</x:f>
      </x:c>
      <x:c r="S25" s="33" t="n">
        <x:f>IF(W25=TRUE,IFERROR(N25/SUMIFS($N$2:$N$500,$W$2:$W$500,TRUE),0),0)</x:f>
        <x:v>0</x:v>
      </x:c>
      <x:c r="T25" s="22" t="str">
        <x:v>Materialer</x:v>
      </x:c>
      <x:c r="U25" s="22" t="str">
        <x:v>ASK</x:v>
      </x:c>
      <x:c r="V25" s="30" t="b">
        <x:v>1</x:v>
      </x:c>
      <x:c r="W25" s="30" t="b">
        <x:v>1</x:v>
      </x:c>
      <x:c r="X25" s="22" t="str">
        <x:v>Manual/Market data</x:v>
      </x:c>
      <x:c r="Y25" s="22" t="str">
        <x:v>FX sheet</x:v>
      </x:c>
      <x:c r="Z25" s="22" t="str"/>
      <x:c r="AA25" s="38" t="str"/>
      <x:c r="AB25" s="38" t="str"/>
    </x:row>
    <x:row r="26">
      <x:c r="A26" s="22" t="str">
        <x:v>A025</x:v>
      </x:c>
      <x:c r="B26" s="22" t="str">
        <x:v>ETF</x:v>
      </x:c>
      <x:c r="C26" s="38" t="str">
        <x:v>VanEck Space Innovators UCITS ETF</x:v>
      </x:c>
      <x:c r="D26" s="22" t="str">
        <x:v>JEDI.DE</x:v>
      </x:c>
      <x:c r="E26" s="22" t="str">
        <x:v>JEDI.DE</x:v>
      </x:c>
      <x:c r="F26" s="22" t="str"/>
      <x:c r="G26" s="23" t="n">
        <x:v>15</x:v>
      </x:c>
      <x:c r="H26" s="24" t="n">
        <x:v>95.08</x:v>
      </x:c>
      <x:c r="I26" s="22" t="str">
        <x:v>EUR</x:v>
      </x:c>
      <x:c r="J26" s="25"/>
      <x:c r="K26" s="24" t="n">
        <x:v>69</x:v>
      </x:c>
      <x:c r="L26" s="36" t="str">
        <x:f>IF(I26="DKK",1,IFERROR(XLOOKUP(I26,FX!$A$2:$A$20,FX!$B$2:$B$20,""),""))</x:f>
      </x:c>
      <x:c r="M26" s="32" t="n">
        <x:f>IFERROR(G26*H26*J26,"")</x:f>
        <x:v>0</x:v>
      </x:c>
      <x:c r="N26" s="32" t="n">
        <x:f>IFERROR(G26*K26*L26,"")</x:f>
        <x:v>0</x:v>
      </x:c>
      <x:c r="O26" s="33" t="n">
        <x:f>IFERROR(K26/H26-1,"")</x:f>
        <x:v>-0.27429533024821207</x:v>
      </x:c>
      <x:c r="P26" s="33" t="str">
        <x:f>IFERROR(L26/J26-1,"")</x:f>
      </x:c>
      <x:c r="Q26" s="32" t="n">
        <x:f>IFERROR(N26-M26,"")</x:f>
        <x:v>0</x:v>
      </x:c>
      <x:c r="R26" s="33" t="str">
        <x:f>IFERROR(N26/M26-1,"")</x:f>
      </x:c>
      <x:c r="S26" s="33" t="n">
        <x:f>IF(W26=TRUE,IFERROR(N26/SUMIFS($N$2:$N$500,$W$2:$W$500,TRUE),0),0)</x:f>
        <x:v>0</x:v>
      </x:c>
      <x:c r="T26" s="22" t="str">
        <x:v>Space</x:v>
      </x:c>
      <x:c r="U26" s="22" t="str">
        <x:v>ASK</x:v>
      </x:c>
      <x:c r="V26" s="30" t="b">
        <x:v>1</x:v>
      </x:c>
      <x:c r="W26" s="30" t="b">
        <x:v>1</x:v>
      </x:c>
      <x:c r="X26" s="22" t="str">
        <x:v>Manual/Market data</x:v>
      </x:c>
      <x:c r="Y26" s="22" t="str">
        <x:v>FX sheet</x:v>
      </x:c>
      <x:c r="Z26" s="22" t="str"/>
      <x:c r="AA26" s="38" t="str"/>
      <x:c r="AB26" s="38" t="str"/>
    </x:row>
    <x:row r="27">
      <x:c r="A27" s="22" t="str">
        <x:v>A026</x:v>
      </x:c>
      <x:c r="B27" s="22" t="str">
        <x:v>ETF</x:v>
      </x:c>
      <x:c r="C27" s="38" t="str">
        <x:v>Xtrackers MSCI World Industrials UCITS ETF 1C</x:v>
      </x:c>
      <x:c r="D27" s="22" t="str">
        <x:v>XDWI.DE</x:v>
      </x:c>
      <x:c r="E27" s="22" t="str">
        <x:v>XDWI.DE</x:v>
      </x:c>
      <x:c r="F27" s="22" t="str"/>
      <x:c r="G27" s="23" t="n">
        <x:v>17</x:v>
      </x:c>
      <x:c r="H27" s="24" t="n">
        <x:v>77.56</x:v>
      </x:c>
      <x:c r="I27" s="22" t="str">
        <x:v>EUR</x:v>
      </x:c>
      <x:c r="J27" s="25"/>
      <x:c r="K27" s="24" t="n">
        <x:v>76</x:v>
      </x:c>
      <x:c r="L27" s="36" t="str">
        <x:f>IF(I27="DKK",1,IFERROR(XLOOKUP(I27,FX!$A$2:$A$20,FX!$B$2:$B$20,""),""))</x:f>
      </x:c>
      <x:c r="M27" s="32" t="n">
        <x:f>IFERROR(G27*H27*J27,"")</x:f>
        <x:v>0</x:v>
      </x:c>
      <x:c r="N27" s="32" t="n">
        <x:f>IFERROR(G27*K27*L27,"")</x:f>
        <x:v>0</x:v>
      </x:c>
      <x:c r="O27" s="33" t="n">
        <x:f>IFERROR(K27/H27-1,"")</x:f>
        <x:v>-0.020113460546673623</x:v>
      </x:c>
      <x:c r="P27" s="33" t="str">
        <x:f>IFERROR(L27/J27-1,"")</x:f>
      </x:c>
      <x:c r="Q27" s="32" t="n">
        <x:f>IFERROR(N27-M27,"")</x:f>
        <x:v>0</x:v>
      </x:c>
      <x:c r="R27" s="33" t="str">
        <x:f>IFERROR(N27/M27-1,"")</x:f>
      </x:c>
      <x:c r="S27" s="33" t="n">
        <x:f>IF(W27=TRUE,IFERROR(N27/SUMIFS($N$2:$N$500,$W$2:$W$500,TRUE),0),0)</x:f>
        <x:v>0</x:v>
      </x:c>
      <x:c r="T27" s="22" t="str">
        <x:v>Industri</x:v>
      </x:c>
      <x:c r="U27" s="22" t="str">
        <x:v>ASK</x:v>
      </x:c>
      <x:c r="V27" s="30" t="b">
        <x:v>1</x:v>
      </x:c>
      <x:c r="W27" s="30" t="b">
        <x:v>1</x:v>
      </x:c>
      <x:c r="X27" s="22" t="str">
        <x:v>Manual/Market data</x:v>
      </x:c>
      <x:c r="Y27" s="22" t="str">
        <x:v>FX sheet</x:v>
      </x:c>
      <x:c r="Z27" s="22" t="str"/>
      <x:c r="AA27" s="38" t="str"/>
      <x:c r="AB27" s="38" t="str"/>
    </x:row>
    <x:row r="28">
      <x:c r="A28" s="22" t="str">
        <x:v>A027</x:v>
      </x:c>
      <x:c r="B28" s="22" t="str">
        <x:v>ETF</x:v>
      </x:c>
      <x:c r="C28" s="38" t="str">
        <x:v>Vanguard FTSE All-World UCITS Acc ETF</x:v>
      </x:c>
      <x:c r="D28" s="22" t="str">
        <x:v>VWCE.DE</x:v>
      </x:c>
      <x:c r="E28" s="22" t="str">
        <x:v>VWCE.DE</x:v>
      </x:c>
      <x:c r="F28" s="22" t="str"/>
      <x:c r="G28" s="23" t="n">
        <x:v>18</x:v>
      </x:c>
      <x:c r="H28" s="24" t="n">
        <x:v>159</x:v>
      </x:c>
      <x:c r="I28" s="22" t="str">
        <x:v>EUR</x:v>
      </x:c>
      <x:c r="J28" s="25"/>
      <x:c r="K28" s="24" t="n">
        <x:v>163</x:v>
      </x:c>
      <x:c r="L28" s="36" t="str">
        <x:f>IF(I28="DKK",1,IFERROR(XLOOKUP(I28,FX!$A$2:$A$20,FX!$B$2:$B$20,""),""))</x:f>
      </x:c>
      <x:c r="M28" s="32" t="n">
        <x:f>IFERROR(G28*H28*J28,"")</x:f>
        <x:v>0</x:v>
      </x:c>
      <x:c r="N28" s="32" t="n">
        <x:f>IFERROR(G28*K28*L28,"")</x:f>
        <x:v>0</x:v>
      </x:c>
      <x:c r="O28" s="33" t="n">
        <x:f>IFERROR(K28/H28-1,"")</x:f>
        <x:v>0.02515723270440251</x:v>
      </x:c>
      <x:c r="P28" s="33" t="str">
        <x:f>IFERROR(L28/J28-1,"")</x:f>
      </x:c>
      <x:c r="Q28" s="32" t="n">
        <x:f>IFERROR(N28-M28,"")</x:f>
        <x:v>0</x:v>
      </x:c>
      <x:c r="R28" s="33" t="str">
        <x:f>IFERROR(N28/M28-1,"")</x:f>
      </x:c>
      <x:c r="S28" s="33" t="n">
        <x:f>IF(W28=TRUE,IFERROR(N28/SUMIFS($N$2:$N$500,$W$2:$W$500,TRUE),0),0)</x:f>
        <x:v>0</x:v>
      </x:c>
      <x:c r="T28" s="22" t="str">
        <x:v>World</x:v>
      </x:c>
      <x:c r="U28" s="22" t="str">
        <x:v>Pension</x:v>
      </x:c>
      <x:c r="V28" s="30" t="b">
        <x:v>1</x:v>
      </x:c>
      <x:c r="W28" s="30" t="b">
        <x:v>1</x:v>
      </x:c>
      <x:c r="X28" s="22" t="str">
        <x:v>Manual/Market data</x:v>
      </x:c>
      <x:c r="Y28" s="22" t="str">
        <x:v>FX sheet</x:v>
      </x:c>
      <x:c r="Z28" s="22" t="str"/>
      <x:c r="AA28" s="38" t="str"/>
      <x:c r="AB28" s="38" t="str"/>
    </x:row>
    <x:row r="29">
      <x:c r="A29" s="22" t="str">
        <x:v>A028</x:v>
      </x:c>
      <x:c r="B29" s="22" t="str">
        <x:v>Stock</x:v>
      </x:c>
      <x:c r="C29" s="38" t="str">
        <x:v>Grundfos</x:v>
      </x:c>
      <x:c r="D29" s="22" t="str">
        <x:v>Grundfos</x:v>
      </x:c>
      <x:c r="E29" s="22" t="str">
        <x:v>Grundfos</x:v>
      </x:c>
      <x:c r="F29" s="22" t="str"/>
      <x:c r="G29" s="23" t="n">
        <x:v>260</x:v>
      </x:c>
      <x:c r="H29" s="24" t="n">
        <x:v>606</x:v>
      </x:c>
      <x:c r="I29" s="22" t="str">
        <x:v>DKK</x:v>
      </x:c>
      <x:c r="J29" s="25" t="n">
        <x:v>1</x:v>
      </x:c>
      <x:c r="K29" s="24" t="n">
        <x:v>1662</x:v>
      </x:c>
      <x:c r="L29" s="36" t="n">
        <x:f>IF(I29="DKK",1,IFERROR(XLOOKUP(I29,FX!$A$2:$A$20,FX!$B$2:$B$20,""),""))</x:f>
        <x:v>1</x:v>
      </x:c>
      <x:c r="M29" s="32" t="n">
        <x:f>IFERROR(G29*H29*J29,"")</x:f>
        <x:v>157560</x:v>
      </x:c>
      <x:c r="N29" s="32" t="n">
        <x:f>IFERROR(G29*K29*L29,"")</x:f>
        <x:v>432120</x:v>
      </x:c>
      <x:c r="O29" s="33" t="n">
        <x:f>IFERROR(K29/H29-1,"")</x:f>
        <x:v>1.7425742574257428</x:v>
      </x:c>
      <x:c r="P29" s="33" t="n">
        <x:f>IFERROR(L29/J29-1,"")</x:f>
        <x:v>0</x:v>
      </x:c>
      <x:c r="Q29" s="32" t="n">
        <x:f>IFERROR(N29-M29,"")</x:f>
        <x:v>274560</x:v>
      </x:c>
      <x:c r="R29" s="33" t="n">
        <x:f>IFERROR(N29/M29-1,"")</x:f>
        <x:v>1.7425742574257428</x:v>
      </x:c>
      <x:c r="S29" s="33" t="n">
        <x:f>IF(W29=TRUE,IFERROR(N29/SUMIFS($N$2:$N$500,$W$2:$W$500,TRUE),0),0)</x:f>
        <x:v>0</x:v>
      </x:c>
      <x:c r="T29" s="22" t="str">
        <x:v>Industri</x:v>
      </x:c>
      <x:c r="U29" s="22" t="str">
        <x:v>Depot</x:v>
      </x:c>
      <x:c r="V29" s="30" t="b">
        <x:v>1</x:v>
      </x:c>
      <x:c r="W29" s="30" t="b">
        <x:v>0</x:v>
      </x:c>
      <x:c r="X29" s="22" t="str">
        <x:v>Manual/Market data</x:v>
      </x:c>
      <x:c r="Y29" s="22" t="str">
        <x:v>FX sheet</x:v>
      </x:c>
      <x:c r="Z29" s="22" t="str"/>
      <x:c r="AA29" s="38" t="str"/>
      <x:c r="AB29" s="38" t="str"/>
    </x:row>
  </x:sheetData>
  <x:conditionalFormatting sqref="G2:S29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b966b82c3c4fd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6.75" hidden="0" customWidth="1"/>
    <x:col min="2" max="2" width="12.630000114440918" hidden="0" customWidth="1"/>
    <x:col min="3" max="3" width="7.630000114440918" hidden="0" customWidth="1"/>
    <x:col min="4" max="4" width="10.75" hidden="0" customWidth="1"/>
    <x:col min="5" max="5" width="19.25" hidden="0" customWidth="1"/>
    <x:col min="6" max="6" width="30" hidden="0" customWidth="1"/>
  </x:cols>
  <x:sheetData>
    <x:row r="1">
      <x:c r="A1" s="7" t="str">
        <x:v>Account</x:v>
      </x:c>
      <x:c r="B1" s="7" t="str">
        <x:v>Account_Type</x:v>
      </x:c>
      <x:c r="C1" s="7" t="str">
        <x:v>Tax_Type</x:v>
      </x:c>
      <x:c r="D1" s="7" t="str">
        <x:v>Include_Total</x:v>
      </x:c>
      <x:c r="E1" s="7" t="str">
        <x:v>Include_Active_Portfolio</x:v>
      </x:c>
      <x:c r="F1" s="7" t="str">
        <x:v>Notes</x:v>
      </x:c>
    </x:row>
    <x:row r="2">
      <x:c r="A2" t="str">
        <x:v>ASK</x:v>
      </x:c>
      <x:c r="B2" t="str">
        <x:v>Investering</x:v>
      </x:c>
      <x:c r="C2" t="str">
        <x:v>ASK</x:v>
      </x:c>
      <x:c r="D2" s="1" t="b">
        <x:v>1</x:v>
      </x:c>
      <x:c r="E2" s="1" t="b">
        <x:v>1</x:v>
      </x:c>
      <x:c r="F2" t="str"/>
    </x:row>
    <x:row r="3">
      <x:c r="A3" t="str">
        <x:v>Pension</x:v>
      </x:c>
      <x:c r="B3" t="str">
        <x:v>Pension</x:v>
      </x:c>
      <x:c r="C3" t="str">
        <x:v>Pension</x:v>
      </x:c>
      <x:c r="D3" s="1" t="b">
        <x:v>1</x:v>
      </x:c>
      <x:c r="E3" s="1" t="b">
        <x:v>1</x:v>
      </x:c>
      <x:c r="F3" t="str"/>
    </x:row>
    <x:row r="4">
      <x:c r="A4" t="str">
        <x:v>Depot</x:v>
      </x:c>
      <x:c r="B4" t="str">
        <x:v>Unoteret/Depot</x:v>
      </x:c>
      <x:c r="C4" t="str">
        <x:v>Aktie</x:v>
      </x:c>
      <x:c r="D4" s="1" t="b">
        <x:v>1</x:v>
      </x:c>
      <x:c r="E4" s="1" t="b">
        <x:v>0</x:v>
      </x:c>
      <x:c r="F4" t="str">
        <x:v>Grundfos er uden for aktiv vægt</x:v>
      </x:c>
    </x:row>
  </x:sheetData>
  <x:pageMargins left="0.7" right="0.7" top="0.75" bottom="0.75" header="0.3" footer="0.3"/>
  <x:tableParts count="1">
    <x:tablePart xmlns:r="http://schemas.openxmlformats.org/officeDocument/2006/relationships" r:id="Rb101635c0f58415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1.8799991607666" hidden="0" customWidth="1"/>
    <x:col min="2" max="2" width="7" hidden="0" customWidth="1"/>
    <x:col min="3" max="3" width="4.75" hidden="0" customWidth="1"/>
    <x:col min="4" max="4" width="38" hidden="0" customWidth="1"/>
  </x:cols>
  <x:sheetData>
    <x:row r="1">
      <x:c r="A1" s="7" t="str">
        <x:v>Setting</x:v>
      </x:c>
      <x:c r="B1" s="7" t="str">
        <x:v>Value</x:v>
      </x:c>
      <x:c r="C1" s="7" t="str">
        <x:v>Unit</x:v>
      </x:c>
      <x:c r="D1" s="7" t="str">
        <x:v>Description</x:v>
      </x:c>
    </x:row>
    <x:row r="2">
      <x:c r="A2" t="str">
        <x:v>Benchmark</x:v>
      </x:c>
      <x:c r="B2" t="str">
        <x:v>URTH</x:v>
      </x:c>
      <x:c r="C2" t="str"/>
      <x:c r="D2" t="str">
        <x:v>Fælles benchmark</x:v>
      </x:c>
    </x:row>
    <x:row r="3">
      <x:c r="A3" t="str">
        <x:v>Risk_Free_Rate</x:v>
      </x:c>
      <x:c r="B3" s="20" t="n">
        <x:v>0.02</x:v>
      </x:c>
      <x:c r="C3" t="str">
        <x:v>pct</x:v>
      </x:c>
      <x:c r="D3" t="str">
        <x:v>Til Sharpe/Sortino</x:v>
      </x:c>
    </x:row>
    <x:row r="4">
      <x:c r="A4" t="str">
        <x:v>Max_Position_Weight</x:v>
      </x:c>
      <x:c r="B4" s="20" t="n">
        <x:v>0.14</x:v>
      </x:c>
      <x:c r="C4" t="str">
        <x:v>pct</x:v>
      </x:c>
      <x:c r="D4" t="str">
        <x:v>Maksimal vægt pr. position</x:v>
      </x:c>
    </x:row>
    <x:row r="5">
      <x:c r="A5" t="str">
        <x:v>Momentum_1W</x:v>
      </x:c>
      <x:c r="B5" s="20" t="n">
        <x:v>0.2</x:v>
      </x:c>
      <x:c r="C5" t="str">
        <x:v>pct</x:v>
      </x:c>
      <x:c r="D5" t="str">
        <x:v>Momentumvægt</x:v>
      </x:c>
    </x:row>
    <x:row r="6">
      <x:c r="A6" t="str">
        <x:v>Momentum_1M</x:v>
      </x:c>
      <x:c r="B6" s="20" t="n">
        <x:v>0.25</x:v>
      </x:c>
      <x:c r="C6" t="str">
        <x:v>pct</x:v>
      </x:c>
      <x:c r="D6" t="str">
        <x:v>Momentumvægt</x:v>
      </x:c>
    </x:row>
    <x:row r="7">
      <x:c r="A7" t="str">
        <x:v>Momentum_3M</x:v>
      </x:c>
      <x:c r="B7" s="20" t="n">
        <x:v>0.25</x:v>
      </x:c>
      <x:c r="C7" t="str">
        <x:v>pct</x:v>
      </x:c>
      <x:c r="D7" t="str">
        <x:v>Momentumvægt</x:v>
      </x:c>
    </x:row>
    <x:row r="8">
      <x:c r="A8" t="str">
        <x:v>Momentum_6M</x:v>
      </x:c>
      <x:c r="B8" s="20" t="n">
        <x:v>0.2</x:v>
      </x:c>
      <x:c r="C8" t="str">
        <x:v>pct</x:v>
      </x:c>
      <x:c r="D8" t="str">
        <x:v>Momentumvægt</x:v>
      </x:c>
    </x:row>
    <x:row r="9">
      <x:c r="A9" t="str">
        <x:v>Momentum_12M</x:v>
      </x:c>
      <x:c r="B9" s="20" t="n">
        <x:v>0.1</x:v>
      </x:c>
      <x:c r="C9" t="str">
        <x:v>pct</x:v>
      </x:c>
      <x:c r="D9" t="str">
        <x:v>Momentumvægt</x:v>
      </x:c>
    </x:row>
    <x:row r="10">
      <x:c r="A10" t="str">
        <x:v>Negative_Table_Text</x:v>
      </x:c>
      <x:c r="B10" t="str">
        <x:v>#FF4B4B</x:v>
      </x:c>
      <x:c r="C10" t="str"/>
      <x:c r="D10" t="str">
        <x:v>Rød skrift for negative værdier</x:v>
      </x:c>
    </x:row>
    <x:row r="11">
      <x:c r="A11" t="str">
        <x:v>Morning_Brief_Max_Actions</x:v>
      </x:c>
      <x:c r="B11" t="n">
        <x:v>5</x:v>
      </x:c>
      <x:c r="C11" t="str">
        <x:v>count</x:v>
      </x:c>
      <x:c r="D11" t="str">
        <x:v>Maksimalt antal handlinger på overblik</x:v>
      </x:c>
    </x:row>
  </x:sheetData>
  <x:conditionalFormatting sqref="B2:B50">
    <x:cfRule type="cellIs" dxfId="1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954d6edaec546d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7.380000114440918" hidden="0" customWidth="1"/>
    <x:col min="2" max="2" width="15.630000114440918" hidden="0" customWidth="1"/>
    <x:col min="3" max="3" width="8.5" hidden="0" customWidth="1"/>
    <x:col min="4" max="4" width="8.630000114440918" hidden="0" customWidth="1"/>
    <x:col min="5" max="5" width="13.380000114440918" hidden="0" customWidth="1"/>
    <x:col min="6" max="6" width="10.130000114440918" hidden="0" customWidth="1"/>
    <x:col min="7" max="7" width="10.630000114440918" hidden="0" customWidth="1"/>
  </x:cols>
  <x:sheetData>
    <x:row r="1">
      <x:c r="A1" s="7" t="str">
        <x:v>Currency</x:v>
      </x:c>
      <x:c r="B1" s="7" t="str">
        <x:v>Current_FX_to_DKK</x:v>
      </x:c>
      <x:c r="C1" s="7" t="str">
        <x:v>Rate_Date</x:v>
      </x:c>
      <x:c r="D1" s="7" t="str">
        <x:v>Source</x:v>
      </x:c>
      <x:c r="E1" s="7" t="str">
        <x:v>Manual_Fallback</x:v>
      </x:c>
      <x:c r="F1" s="7" t="str">
        <x:v>Use_Manual</x:v>
      </x:c>
      <x:c r="G1" s="7" t="str">
        <x:v>Data_Quality</x:v>
      </x:c>
    </x:row>
    <x:row r="2">
      <x:c r="A2" t="str">
        <x:v>DKK</x:v>
      </x:c>
      <x:c r="B2" s="16" t="n">
        <x:v>1</x:v>
      </x:c>
      <x:c r="C2" t="str"/>
      <x:c r="D2" t="str">
        <x:v>Fixed</x:v>
      </x:c>
      <x:c r="E2" t="n">
        <x:v>1</x:v>
      </x:c>
      <x:c r="F2" s="1" t="b">
        <x:v>0</x:v>
      </x:c>
      <x:c r="G2" t="str">
        <x:v>OK</x:v>
      </x:c>
    </x:row>
    <x:row r="3">
      <x:c r="A3" t="str">
        <x:v>EUR</x:v>
      </x:c>
      <x:c r="B3" s="16"/>
      <x:c r="C3" t="str"/>
      <x:c r="D3" t="str">
        <x:v>ECB/Yahoo</x:v>
      </x:c>
      <x:c r="E3"/>
      <x:c r="F3" s="1" t="b">
        <x:v>0</x:v>
      </x:c>
      <x:c r="G3" t="str">
        <x:v>MISSING</x:v>
      </x:c>
    </x:row>
    <x:row r="4">
      <x:c r="A4" t="str">
        <x:v>USD</x:v>
      </x:c>
      <x:c r="B4" s="16"/>
      <x:c r="C4" t="str"/>
      <x:c r="D4" t="str">
        <x:v>ECB/Yahoo</x:v>
      </x:c>
      <x:c r="E4"/>
      <x:c r="F4" s="1" t="b">
        <x:v>0</x:v>
      </x:c>
      <x:c r="G4" t="str">
        <x:v>MISSING</x:v>
      </x:c>
    </x:row>
    <x:row r="5">
      <x:c r="A5" t="str">
        <x:v>SEK</x:v>
      </x:c>
      <x:c r="B5" s="16"/>
      <x:c r="C5" t="str"/>
      <x:c r="D5" t="str">
        <x:v>ECB/Yahoo</x:v>
      </x:c>
      <x:c r="E5"/>
      <x:c r="F5" s="1" t="b">
        <x:v>0</x:v>
      </x:c>
      <x:c r="G5" t="str">
        <x:v>MISSING</x:v>
      </x:c>
    </x:row>
    <x:row r="6">
      <x:c r="A6" t="str">
        <x:v>NOK</x:v>
      </x:c>
      <x:c r="B6" s="16"/>
      <x:c r="C6" t="str"/>
      <x:c r="D6" t="str">
        <x:v>ECB/Yahoo</x:v>
      </x:c>
      <x:c r="E6"/>
      <x:c r="F6" s="1" t="b">
        <x:v>0</x:v>
      </x:c>
      <x:c r="G6" t="str">
        <x:v>MISSING</x:v>
      </x:c>
    </x:row>
    <x:row r="7">
      <x:c r="A7" t="str">
        <x:v>GBP</x:v>
      </x:c>
      <x:c r="B7" s="16"/>
      <x:c r="C7" t="str"/>
      <x:c r="D7" t="str">
        <x:v>ECB/Yahoo</x:v>
      </x:c>
      <x:c r="E7"/>
      <x:c r="F7" s="1" t="b">
        <x:v>0</x:v>
      </x:c>
      <x:c r="G7" t="str">
        <x:v>MISSING</x:v>
      </x:c>
    </x:row>
    <x:row r="8">
      <x:c r="A8" t="str">
        <x:v>CHF</x:v>
      </x:c>
      <x:c r="B8" s="16"/>
      <x:c r="C8" t="str"/>
      <x:c r="D8" t="str">
        <x:v>ECB/Yahoo</x:v>
      </x:c>
      <x:c r="E8"/>
      <x:c r="F8" s="1" t="b">
        <x:v>0</x:v>
      </x:c>
      <x:c r="G8" t="str">
        <x:v>MISSING</x:v>
      </x:c>
    </x:row>
    <x:row r="9">
      <x:c r="A9" t="str">
        <x:v>JPY</x:v>
      </x:c>
      <x:c r="B9" s="16"/>
      <x:c r="C9" t="str"/>
      <x:c r="D9" t="str">
        <x:v>ECB/Yahoo</x:v>
      </x:c>
      <x:c r="E9"/>
      <x:c r="F9" s="1" t="b">
        <x:v>0</x:v>
      </x:c>
      <x:c r="G9" t="str">
        <x:v>MISSING</x:v>
      </x:c>
    </x:row>
  </x:sheetData>
  <x:conditionalFormatting sqref="B2:E20">
    <x:cfRule type="cellIs" dxfId="2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c059b2435a744b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1.25" hidden="0" customWidth="1"/>
    <x:col min="2" max="2" width="10.630000114440918" hidden="0" customWidth="1"/>
    <x:col min="3" max="3" width="7.630000114440918" hidden="0" customWidth="1"/>
    <x:col min="4" max="4" width="7.380000114440918" hidden="0" customWidth="1"/>
    <x:col min="5" max="5" width="11.25" hidden="0" customWidth="1"/>
    <x:col min="6" max="6" width="14.880000114440918" hidden="0" customWidth="1"/>
  </x:cols>
  <x:sheetData>
    <x:row r="1">
      <x:c r="A1" s="7" t="str">
        <x:v>Ticker</x:v>
      </x:c>
      <x:c r="B1" s="7" t="str">
        <x:v>Yahoo_Ticker</x:v>
      </x:c>
      <x:c r="C1" s="7" t="str">
        <x:v>Exchange</x:v>
      </x:c>
      <x:c r="D1" s="7" t="str">
        <x:v>Currency</x:v>
      </x:c>
      <x:c r="E1" s="7" t="str">
        <x:v>Data_Source</x:v>
      </x:c>
      <x:c r="F1" s="7" t="str">
        <x:v>Verification_Status</x:v>
      </x:c>
    </x:row>
    <x:row r="2">
      <x:c r="A2" t="str">
        <x:v>ABB:XSTO</x:v>
      </x:c>
      <x:c r="B2" t="str">
        <x:v>ABB.ST</x:v>
      </x:c>
      <x:c r="C2" t="str">
        <x:v>XSTO</x:v>
      </x:c>
      <x:c r="D2" t="str">
        <x:v>SEK</x:v>
      </x:c>
      <x:c r="E2" t="str">
        <x:v>Yahoo Finance</x:v>
      </x:c>
      <x:c r="F2" t="str">
        <x:v>OK</x:v>
      </x:c>
    </x:row>
    <x:row r="3">
      <x:c r="A3" t="str">
        <x:v>ALSYDB:XCSE</x:v>
      </x:c>
      <x:c r="B3" t="str">
        <x:v>ALSYDB.CO</x:v>
      </x:c>
      <x:c r="C3" t="str">
        <x:v>XCSE</x:v>
      </x:c>
      <x:c r="D3" t="str">
        <x:v>DKK</x:v>
      </x:c>
      <x:c r="E3" t="str">
        <x:v>Yahoo Finance</x:v>
      </x:c>
      <x:c r="F3" t="str">
        <x:v>OK</x:v>
      </x:c>
    </x:row>
    <x:row r="4">
      <x:c r="A4" t="str">
        <x:v>ASML:XAMS</x:v>
      </x:c>
      <x:c r="B4" t="str">
        <x:v>ASML.AS</x:v>
      </x:c>
      <x:c r="C4" t="str">
        <x:v>XAMS</x:v>
      </x:c>
      <x:c r="D4" t="str">
        <x:v>EUR</x:v>
      </x:c>
      <x:c r="E4" t="str">
        <x:v>Yahoo Finance</x:v>
      </x:c>
      <x:c r="F4" t="str">
        <x:v>OK</x:v>
      </x:c>
    </x:row>
    <x:row r="5">
      <x:c r="A5" t="str">
        <x:v>DANSKE:XCSE</x:v>
      </x:c>
      <x:c r="B5" t="str">
        <x:v>DANSKE.CO</x:v>
      </x:c>
      <x:c r="C5" t="str">
        <x:v>XCSE</x:v>
      </x:c>
      <x:c r="D5" t="str">
        <x:v>DKK</x:v>
      </x:c>
      <x:c r="E5" t="str">
        <x:v>Yahoo Finance</x:v>
      </x:c>
      <x:c r="F5" t="str">
        <x:v>OK</x:v>
      </x:c>
    </x:row>
    <x:row r="6">
      <x:c r="A6" t="str">
        <x:v>FRO</x:v>
      </x:c>
      <x:c r="B6" t="str">
        <x:v>FRO</x:v>
      </x:c>
      <x:c r="C6" t="str"/>
      <x:c r="D6" t="str">
        <x:v>USD</x:v>
      </x:c>
      <x:c r="E6" t="str">
        <x:v>Yahoo Finance</x:v>
      </x:c>
      <x:c r="F6" t="str">
        <x:v>OK</x:v>
      </x:c>
    </x:row>
    <x:row r="7">
      <x:c r="A7" t="str">
        <x:v>MSF:XETR</x:v>
      </x:c>
      <x:c r="B7" t="str">
        <x:v>MSF.DE</x:v>
      </x:c>
      <x:c r="C7" t="str">
        <x:v>XETR</x:v>
      </x:c>
      <x:c r="D7" t="str">
        <x:v>EUR</x:v>
      </x:c>
      <x:c r="E7" t="str">
        <x:v>Yahoo Finance</x:v>
      </x:c>
      <x:c r="F7" t="str">
        <x:v>OK</x:v>
      </x:c>
    </x:row>
    <x:row r="8">
      <x:c r="A8" t="str">
        <x:v>NKT.CO</x:v>
      </x:c>
      <x:c r="B8" t="str">
        <x:v>NKT.CO</x:v>
      </x:c>
      <x:c r="C8" t="str"/>
      <x:c r="D8" t="str">
        <x:v>DKK</x:v>
      </x:c>
      <x:c r="E8" t="str">
        <x:v>Yahoo Finance</x:v>
      </x:c>
      <x:c r="F8" t="str">
        <x:v>OK</x:v>
      </x:c>
    </x:row>
    <x:row r="9">
      <x:c r="A9" t="str">
        <x:v>NOVO-B.CO</x:v>
      </x:c>
      <x:c r="B9" t="str">
        <x:v>NOVO-B.CO</x:v>
      </x:c>
      <x:c r="C9" t="str"/>
      <x:c r="D9" t="str">
        <x:v>DKK</x:v>
      </x:c>
      <x:c r="E9" t="str">
        <x:v>Yahoo Finance</x:v>
      </x:c>
      <x:c r="F9" t="str">
        <x:v>OK</x:v>
      </x:c>
    </x:row>
    <x:row r="10">
      <x:c r="A10" t="str">
        <x:v>PNDORA:XCSE</x:v>
      </x:c>
      <x:c r="B10" t="str">
        <x:v>PNDORA.CO</x:v>
      </x:c>
      <x:c r="C10" t="str">
        <x:v>XCSE</x:v>
      </x:c>
      <x:c r="D10" t="str">
        <x:v>DKK</x:v>
      </x:c>
      <x:c r="E10" t="str">
        <x:v>Yahoo Finance</x:v>
      </x:c>
      <x:c r="F10" t="str">
        <x:v>OK</x:v>
      </x:c>
    </x:row>
    <x:row r="11">
      <x:c r="A11" t="str">
        <x:v>ENR:XETR</x:v>
      </x:c>
      <x:c r="B11" t="str">
        <x:v>ENR.DE</x:v>
      </x:c>
      <x:c r="C11" t="str">
        <x:v>XETR</x:v>
      </x:c>
      <x:c r="D11" t="str">
        <x:v>EUR</x:v>
      </x:c>
      <x:c r="E11" t="str">
        <x:v>Yahoo Finance</x:v>
      </x:c>
      <x:c r="F11" t="str">
        <x:v>OK</x:v>
      </x:c>
    </x:row>
    <x:row r="12">
      <x:c r="A12" t="str">
        <x:v>TSM:XNYS</x:v>
      </x:c>
      <x:c r="B12" t="str">
        <x:v>TSM</x:v>
      </x:c>
      <x:c r="C12" t="str">
        <x:v>XNYS</x:v>
      </x:c>
      <x:c r="D12" t="str">
        <x:v>USD</x:v>
      </x:c>
      <x:c r="E12" t="str">
        <x:v>Yahoo Finance</x:v>
      </x:c>
      <x:c r="F12" t="str">
        <x:v>OK</x:v>
      </x:c>
    </x:row>
    <x:row r="13">
      <x:c r="A13" t="str">
        <x:v>UNH:XETR</x:v>
      </x:c>
      <x:c r="B13" t="str">
        <x:v>UNH.DE</x:v>
      </x:c>
      <x:c r="C13" t="str">
        <x:v>XETR</x:v>
      </x:c>
      <x:c r="D13" t="str">
        <x:v>EUR</x:v>
      </x:c>
      <x:c r="E13" t="str">
        <x:v>Yahoo Finance</x:v>
      </x:c>
      <x:c r="F13" t="str">
        <x:v>OK</x:v>
      </x:c>
    </x:row>
    <x:row r="14">
      <x:c r="A14" t="str">
        <x:v>VWS:XCSE</x:v>
      </x:c>
      <x:c r="B14" t="str">
        <x:v>VWS.CO</x:v>
      </x:c>
      <x:c r="C14" t="str">
        <x:v>XCSE</x:v>
      </x:c>
      <x:c r="D14" t="str">
        <x:v>DKK</x:v>
      </x:c>
      <x:c r="E14" t="str">
        <x:v>Yahoo Finance</x:v>
      </x:c>
      <x:c r="F14" t="str">
        <x:v>OK</x:v>
      </x:c>
    </x:row>
    <x:row r="15">
      <x:c r="A15" t="str">
        <x:v>COPX.L</x:v>
      </x:c>
      <x:c r="B15" t="str">
        <x:v>COPX.L</x:v>
      </x:c>
      <x:c r="C15" t="str">
        <x:v>XLON</x:v>
      </x:c>
      <x:c r="D15" t="str">
        <x:v>USD</x:v>
      </x:c>
      <x:c r="E15" t="str">
        <x:v>Yahoo Finance</x:v>
      </x:c>
      <x:c r="F15" t="str">
        <x:v>VERIFY</x:v>
      </x:c>
    </x:row>
    <x:row r="16">
      <x:c r="A16" t="str">
        <x:v>94VE.DE</x:v>
      </x:c>
      <x:c r="B16" t="str">
        <x:v>94VE.DE</x:v>
      </x:c>
      <x:c r="C16" t="str"/>
      <x:c r="D16" t="str">
        <x:v>EUR</x:v>
      </x:c>
      <x:c r="E16" t="str">
        <x:v>Yahoo Finance</x:v>
      </x:c>
      <x:c r="F16" t="str">
        <x:v>OK</x:v>
      </x:c>
    </x:row>
    <x:row r="17">
      <x:c r="A17" t="str">
        <x:v>URNU.DE</x:v>
      </x:c>
      <x:c r="B17" t="str">
        <x:v>URNU.DE</x:v>
      </x:c>
      <x:c r="C17" t="str"/>
      <x:c r="D17" t="str">
        <x:v>EUR</x:v>
      </x:c>
      <x:c r="E17" t="str">
        <x:v>Yahoo Finance</x:v>
      </x:c>
      <x:c r="F17" t="str">
        <x:v>OK</x:v>
      </x:c>
    </x:row>
    <x:row r="18">
      <x:c r="A18" t="str">
        <x:v>IQQH.DE</x:v>
      </x:c>
      <x:c r="B18" t="str">
        <x:v>IQQH.DE</x:v>
      </x:c>
      <x:c r="C18" t="str"/>
      <x:c r="D18" t="str">
        <x:v>EUR</x:v>
      </x:c>
      <x:c r="E18" t="str">
        <x:v>Yahoo Finance</x:v>
      </x:c>
      <x:c r="F18" t="str">
        <x:v>OK</x:v>
      </x:c>
    </x:row>
    <x:row r="19">
      <x:c r="A19" t="str">
        <x:v>SEC0.DE</x:v>
      </x:c>
      <x:c r="B19" t="str">
        <x:v>SEC0.DE</x:v>
      </x:c>
      <x:c r="C19" t="str"/>
      <x:c r="D19" t="str">
        <x:v>EUR</x:v>
      </x:c>
      <x:c r="E19" t="str">
        <x:v>Yahoo Finance</x:v>
      </x:c>
      <x:c r="F19" t="str">
        <x:v>OK</x:v>
      </x:c>
    </x:row>
    <x:row r="20">
      <x:c r="A20" t="str">
        <x:v>IQQK.DE</x:v>
      </x:c>
      <x:c r="B20" t="str">
        <x:v>IQQK.DE</x:v>
      </x:c>
      <x:c r="C20" t="str"/>
      <x:c r="D20" t="str">
        <x:v>EUR</x:v>
      </x:c>
      <x:c r="E20" t="str">
        <x:v>Yahoo Finance</x:v>
      </x:c>
      <x:c r="F20" t="str">
        <x:v>OK</x:v>
      </x:c>
    </x:row>
    <x:row r="21">
      <x:c r="A21" t="str">
        <x:v>2B70.DE</x:v>
      </x:c>
      <x:c r="B21" t="str">
        <x:v>2B70.DE</x:v>
      </x:c>
      <x:c r="C21" t="str"/>
      <x:c r="D21" t="str">
        <x:v>EUR</x:v>
      </x:c>
      <x:c r="E21" t="str">
        <x:v>Yahoo Finance</x:v>
      </x:c>
      <x:c r="F21" t="str">
        <x:v>OK</x:v>
      </x:c>
    </x:row>
    <x:row r="22">
      <x:c r="A22" t="str">
        <x:v>DFEN.DE</x:v>
      </x:c>
      <x:c r="B22" t="str">
        <x:v>DFEN.DE</x:v>
      </x:c>
      <x:c r="C22" t="str"/>
      <x:c r="D22" t="str">
        <x:v>EUR</x:v>
      </x:c>
      <x:c r="E22" t="str">
        <x:v>Yahoo Finance</x:v>
      </x:c>
      <x:c r="F22" t="str">
        <x:v>OK</x:v>
      </x:c>
    </x:row>
    <x:row r="23">
      <x:c r="A23" t="str">
        <x:v>QUTM.DE</x:v>
      </x:c>
      <x:c r="B23" t="str">
        <x:v>QUTM.DE</x:v>
      </x:c>
      <x:c r="C23" t="str"/>
      <x:c r="D23" t="str">
        <x:v>EUR</x:v>
      </x:c>
      <x:c r="E23" t="str">
        <x:v>Yahoo Finance</x:v>
      </x:c>
      <x:c r="F23" t="str">
        <x:v>OK</x:v>
      </x:c>
    </x:row>
    <x:row r="24">
      <x:c r="A24" t="str">
        <x:v>VVMX.DE</x:v>
      </x:c>
      <x:c r="B24" t="str">
        <x:v>VVMX.DE</x:v>
      </x:c>
      <x:c r="C24" t="str"/>
      <x:c r="D24" t="str">
        <x:v>EUR</x:v>
      </x:c>
      <x:c r="E24" t="str">
        <x:v>Yahoo Finance</x:v>
      </x:c>
      <x:c r="F24" t="str">
        <x:v>OK</x:v>
      </x:c>
    </x:row>
    <x:row r="25">
      <x:c r="A25" t="str">
        <x:v>WMIN.DE</x:v>
      </x:c>
      <x:c r="B25" t="str">
        <x:v>WMIN.DE</x:v>
      </x:c>
      <x:c r="C25" t="str"/>
      <x:c r="D25" t="str">
        <x:v>EUR</x:v>
      </x:c>
      <x:c r="E25" t="str">
        <x:v>Yahoo Finance</x:v>
      </x:c>
      <x:c r="F25" t="str">
        <x:v>OK</x:v>
      </x:c>
    </x:row>
    <x:row r="26">
      <x:c r="A26" t="str">
        <x:v>JEDI.DE</x:v>
      </x:c>
      <x:c r="B26" t="str">
        <x:v>JEDI.DE</x:v>
      </x:c>
      <x:c r="C26" t="str"/>
      <x:c r="D26" t="str">
        <x:v>EUR</x:v>
      </x:c>
      <x:c r="E26" t="str">
        <x:v>Yahoo Finance</x:v>
      </x:c>
      <x:c r="F26" t="str">
        <x:v>OK</x:v>
      </x:c>
    </x:row>
    <x:row r="27">
      <x:c r="A27" t="str">
        <x:v>XDWI.DE</x:v>
      </x:c>
      <x:c r="B27" t="str">
        <x:v>XDWI.DE</x:v>
      </x:c>
      <x:c r="C27" t="str"/>
      <x:c r="D27" t="str">
        <x:v>EUR</x:v>
      </x:c>
      <x:c r="E27" t="str">
        <x:v>Yahoo Finance</x:v>
      </x:c>
      <x:c r="F27" t="str">
        <x:v>OK</x:v>
      </x:c>
    </x:row>
    <x:row r="28">
      <x:c r="A28" t="str">
        <x:v>VWCE.DE</x:v>
      </x:c>
      <x:c r="B28" t="str">
        <x:v>VWCE.DE</x:v>
      </x:c>
      <x:c r="C28" t="str"/>
      <x:c r="D28" t="str">
        <x:v>EUR</x:v>
      </x:c>
      <x:c r="E28" t="str">
        <x:v>Yahoo Finance</x:v>
      </x:c>
      <x:c r="F28" t="str">
        <x:v>OK</x:v>
      </x:c>
    </x:row>
    <x:row r="29">
      <x:c r="A29" t="str">
        <x:v>Grundfos</x:v>
      </x:c>
      <x:c r="B29" t="str">
        <x:v>Grundfos</x:v>
      </x:c>
      <x:c r="C29" t="str"/>
      <x:c r="D29" t="str">
        <x:v>DKK</x:v>
      </x:c>
      <x:c r="E29" t="str">
        <x:v>Yahoo Finance</x:v>
      </x:c>
      <x:c r="F29" t="str">
        <x:v>OK</x:v>
      </x:c>
    </x:row>
  </x:sheetData>
  <x:pageMargins left="0.7" right="0.7" top="0.75" bottom="0.75" header="0.3" footer="0.3"/>
  <x:tableParts count="1">
    <x:tablePart xmlns:r="http://schemas.openxmlformats.org/officeDocument/2006/relationships" r:id="R5fc02a60f3da4ad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5.130000114440918" hidden="0" customWidth="1"/>
    <x:col min="2" max="2" width="5.130000114440918" hidden="0" customWidth="1"/>
    <x:col min="3" max="3" width="10.630000114440918" hidden="0" customWidth="1"/>
    <x:col min="4" max="4" width="7.380000114440918" hidden="0" customWidth="1"/>
    <x:col min="5" max="5" width="5.380000114440918" hidden="0" customWidth="1"/>
    <x:col min="6" max="6" width="5.380000114440918" hidden="0" customWidth="1"/>
    <x:col min="7" max="7" width="9" hidden="0" customWidth="1"/>
    <x:col min="8" max="8" width="8.630000114440918" hidden="0" customWidth="1"/>
    <x:col min="9" max="9" width="11.630000114440918" hidden="0" customWidth="1"/>
    <x:col min="10" max="10" width="30" hidden="0" customWidth="1"/>
  </x:cols>
  <x:sheetData>
    <x:row r="1">
      <x:c r="A1" s="7" t="str">
        <x:v>Name</x:v>
      </x:c>
      <x:c r="B1" s="7" t="str">
        <x:v>Ticker</x:v>
      </x:c>
      <x:c r="C1" s="7" t="str">
        <x:v>Yahoo_Ticker</x:v>
      </x:c>
      <x:c r="D1" s="7" t="str">
        <x:v>Currency</x:v>
      </x:c>
      <x:c r="E1" s="7" t="str">
        <x:v>Sector</x:v>
      </x:c>
      <x:c r="F1" s="7" t="str">
        <x:v>Status</x:v>
      </x:c>
      <x:c r="G1" s="7" t="str">
        <x:v>Target_Buy</x:v>
      </x:c>
      <x:c r="H1" s="7" t="str">
        <x:v>Max_Price</x:v>
      </x:c>
      <x:c r="I1" s="7" t="str">
        <x:v>AI_Confidence</x:v>
      </x:c>
      <x:c r="J1" s="7" t="str">
        <x:v>Notes</x:v>
      </x:c>
    </x:row>
    <x:row r="2">
      <x:c r="A2" t="str"/>
      <x:c r="B2" t="str"/>
      <x:c r="C2" t="str"/>
      <x:c r="D2" t="str"/>
      <x:c r="E2" t="str"/>
      <x:c r="F2" t="str">
        <x:v>Watch</x:v>
      </x:c>
      <x:c r="G2" t="str"/>
      <x:c r="H2" t="str"/>
      <x:c r="I2" t="str"/>
      <x:c r="J2" t="str"/>
    </x:row>
  </x:sheetData>
  <x:conditionalFormatting sqref="G2:I200">
    <x:cfRule type="cellIs" dxfId="4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afc66fe55fa4fa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6.75" hidden="0" customWidth="1"/>
    <x:col min="2" max="2" width="7.380000114440918" hidden="0" customWidth="1"/>
    <x:col min="3" max="3" width="7.5" hidden="0" customWidth="1"/>
    <x:col min="4" max="4" width="9" hidden="0" customWidth="1"/>
    <x:col min="5" max="5" width="10.75" hidden="0" customWidth="1"/>
    <x:col min="6" max="6" width="10.75" hidden="0" customWidth="1"/>
    <x:col min="7" max="7" width="19.25" hidden="0" customWidth="1"/>
  </x:cols>
  <x:sheetData>
    <x:row r="1">
      <x:c r="A1" s="7" t="str">
        <x:v>Account</x:v>
      </x:c>
      <x:c r="B1" s="7" t="str">
        <x:v>Currency</x:v>
      </x:c>
      <x:c r="C1" s="7" t="str">
        <x:v>Amount</x:v>
      </x:c>
      <x:c r="D1" s="7" t="str">
        <x:v>FX_to_DKK</x:v>
      </x:c>
      <x:c r="E1" s="7" t="str">
        <x:v>Amount_DKK</x:v>
      </x:c>
      <x:c r="F1" s="7" t="str">
        <x:v>Include_Total</x:v>
      </x:c>
      <x:c r="G1" s="7" t="str">
        <x:v>Include_Active_Portfolio</x:v>
      </x:c>
    </x:row>
    <x:row r="2">
      <x:c r="A2" t="str">
        <x:v>ASK</x:v>
      </x:c>
      <x:c r="B2" t="str">
        <x:v>DKK</x:v>
      </x:c>
      <x:c r="C2" s="18" t="n">
        <x:v>50000</x:v>
      </x:c>
      <x:c r="D2" s="18" t="n">
        <x:v>1</x:v>
      </x:c>
      <x:c r="E2" s="18" t="n">
        <x:f>C2*D2</x:f>
        <x:v>50000</x:v>
      </x:c>
      <x:c r="F2" s="1" t="b">
        <x:v>1</x:v>
      </x:c>
      <x:c r="G2" s="1" t="b">
        <x:v>1</x:v>
      </x:c>
    </x:row>
  </x:sheetData>
  <x:conditionalFormatting sqref="C2:E50">
    <x:cfRule type="cellIs" dxfId="3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302ad35b84d43f8"/>
  </x:tableParts>
</x:worksheet>
</file>