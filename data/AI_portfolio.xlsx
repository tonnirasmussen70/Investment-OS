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548B357F-022F-411E-85A4-D606FF04062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7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8" i="1"/>
  <c r="M18" i="1"/>
  <c r="L18" i="1"/>
  <c r="P18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8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8" i="1"/>
  <c r="S18" i="1"/>
  <c r="R18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<sst xmlns="http://schemas.openxmlformats.org/spreadsheetml/2006/main" count="588" uniqueCount="215">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</sst>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E15" sqref="E15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6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39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211</v>
      </c>
      <c r="D11" s="6" t="s">
        <v>213</v>
      </c>
      <c r="E11" s="6" t="s">
        <v>212</v>
      </c>
      <c r="F11" s="6"/>
      <c r="G11" s="7">
        <v>10</v>
      </c>
      <c r="H11" s="8">
        <v>110.34</v>
      </c>
      <c r="I11" s="6" t="s">
        <v>48</v>
      </c>
      <c r="J11" s="9"/>
      <c r="K11" s="8">
        <v>110.8</v>
      </c>
      <c r="L11" s="13"/>
      <c r="M11" s="11"/>
      <c r="N11" s="11"/>
      <c r="O11" s="12">
        <f t="shared" ref="O11" si="7">IFERROR(K11/H11-1,"")</f>
        <v>4.1689323907920794E-3</v>
      </c>
      <c r="P11" s="12" t="str">
        <f t="shared" ref="P11" si="8">IFERROR(L11/J11-1,"")</f>
        <v/>
      </c>
      <c r="Q11" s="11">
        <f t="shared" ref="Q11" si="9">IFERROR(N11-M11,"")</f>
        <v>0</v>
      </c>
      <c r="R11" s="12" t="str">
        <f t="shared" ref="R11" si="10">IFERROR(N11/M11-1,"")</f>
        <v/>
      </c>
      <c r="S11" s="12">
        <f t="shared" ref="S11" ca="1" si="11">IF(W11=TRUE,IFERROR(N11/SUMIFS($N$2:$N$501,$W$2:$W$501,TRUE),0),0)</f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10</v>
      </c>
      <c r="H12" s="8">
        <v>141.49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0.11470775319810578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414.2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9.1743119266054496E-3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15750.720000000001</v>
      </c>
      <c r="N14" s="11">
        <f t="shared" si="1"/>
        <v>19067.400000000001</v>
      </c>
      <c r="O14" s="12">
        <f t="shared" si="6"/>
        <v>0.21057323093801439</v>
      </c>
      <c r="P14" s="12">
        <f t="shared" si="2"/>
        <v>0</v>
      </c>
      <c r="Q14" s="11">
        <f t="shared" si="3"/>
        <v>3316.6800000000003</v>
      </c>
      <c r="R14" s="12">
        <f t="shared" si="4"/>
        <v>0.21057323093801417</v>
      </c>
      <c r="S14" s="12">
        <f t="shared" ca="1" si="5"/>
        <v>2.6103956377037982E-2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214</v>
      </c>
      <c r="E15" s="6" t="s">
        <v>214</v>
      </c>
      <c r="F15" s="6"/>
      <c r="G15" s="7">
        <v>47</v>
      </c>
      <c r="H15" s="8">
        <v>59.2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-2.0270270270270285E-2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95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96</v>
      </c>
      <c r="AB15" s="14"/>
    </row>
    <row r="16" spans="1:28">
      <c r="A16" s="6" t="s">
        <v>97</v>
      </c>
      <c r="B16" s="6" t="s">
        <v>92</v>
      </c>
      <c r="C16" s="14" t="s">
        <v>98</v>
      </c>
      <c r="D16" s="6" t="s">
        <v>99</v>
      </c>
      <c r="E16" s="6" t="s">
        <v>99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207</v>
      </c>
      <c r="D17" s="6" t="s">
        <v>208</v>
      </c>
      <c r="E17" s="6" t="s">
        <v>209</v>
      </c>
      <c r="F17" s="6"/>
      <c r="G17" s="7">
        <v>17</v>
      </c>
      <c r="H17" s="8">
        <v>78.83</v>
      </c>
      <c r="I17" s="6" t="s">
        <v>48</v>
      </c>
      <c r="J17" s="9"/>
      <c r="K17" s="8">
        <v>79</v>
      </c>
      <c r="L17" s="13"/>
      <c r="M17" s="11"/>
      <c r="N17" s="11"/>
      <c r="O17" s="12">
        <f t="shared" si="6"/>
        <v>2.1565393885576434E-3</v>
      </c>
      <c r="P17" s="12"/>
      <c r="Q17" s="11"/>
      <c r="R17" s="12"/>
      <c r="S17" s="12"/>
      <c r="T17" s="6" t="s">
        <v>139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101</v>
      </c>
      <c r="D18" s="6" t="s">
        <v>102</v>
      </c>
      <c r="E18" s="6" t="s">
        <v>102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-0.20580110497237569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ref="S18:S30" ca="1" si="12">IF(W18=TRUE,IFERROR(N18/SUMIFS($N$2:$N$501,$W$2:$W$501,TRUE),0),0)</f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104</v>
      </c>
      <c r="D19" s="6" t="s">
        <v>105</v>
      </c>
      <c r="E19" s="6" t="s">
        <v>105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12"/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107</v>
      </c>
      <c r="D20" s="6" t="s">
        <v>108</v>
      </c>
      <c r="E20" s="6" t="s">
        <v>108</v>
      </c>
      <c r="F20" s="6"/>
      <c r="G20" s="7">
        <v>363</v>
      </c>
      <c r="H20" s="8">
        <v>9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0.88888888888888884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12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110</v>
      </c>
      <c r="D21" s="6" t="s">
        <v>111</v>
      </c>
      <c r="E21" s="6" t="s">
        <v>111</v>
      </c>
      <c r="F21" s="6"/>
      <c r="G21" s="7">
        <v>19</v>
      </c>
      <c r="H21" s="8">
        <v>114.15900000000001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-8.0230205240059971E-2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113</v>
      </c>
      <c r="D22" s="6" t="s">
        <v>114</v>
      </c>
      <c r="E22" s="6" t="s">
        <v>114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115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117</v>
      </c>
      <c r="D23" s="6" t="s">
        <v>118</v>
      </c>
      <c r="E23" s="6" t="s">
        <v>118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121</v>
      </c>
      <c r="D24" s="6" t="s">
        <v>122</v>
      </c>
      <c r="E24" s="6" t="s">
        <v>122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124</v>
      </c>
      <c r="D25" s="6" t="s">
        <v>125</v>
      </c>
      <c r="E25" s="6" t="s">
        <v>125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127</v>
      </c>
      <c r="D26" s="6" t="s">
        <v>128</v>
      </c>
      <c r="E26" s="6" t="s">
        <v>128</v>
      </c>
      <c r="F26" s="6"/>
      <c r="G26" s="7">
        <v>46</v>
      </c>
      <c r="H26" s="8">
        <v>55.45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-2.6149684400360695E-2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95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130</v>
      </c>
      <c r="D27" s="6" t="s">
        <v>131</v>
      </c>
      <c r="E27" s="6" t="s">
        <v>131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132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134</v>
      </c>
      <c r="D28" s="6" t="s">
        <v>135</v>
      </c>
      <c r="E28" s="6" t="s">
        <v>135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92</v>
      </c>
      <c r="C29" s="14" t="s">
        <v>137</v>
      </c>
      <c r="D29" s="6" t="s">
        <v>138</v>
      </c>
      <c r="E29" s="6" t="s">
        <v>138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139</v>
      </c>
      <c r="U29" s="6" t="s">
        <v>140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210</v>
      </c>
      <c r="B30" s="6" t="s">
        <v>29</v>
      </c>
      <c r="C30" s="14" t="s">
        <v>142</v>
      </c>
      <c r="D30" s="6" t="s">
        <v>142</v>
      </c>
      <c r="E30" s="6" t="s">
        <v>142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12"/>
        <v>0.5915878216036613</v>
      </c>
      <c r="T30" s="6" t="s">
        <v>58</v>
      </c>
      <c r="U30" s="6" t="s">
        <v>143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0.25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E11" sqref="E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213</v>
      </c>
      <c r="B11" t="s">
        <v>212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77</v>
      </c>
      <c r="B12" t="s">
        <v>78</v>
      </c>
      <c r="C12" t="s">
        <v>196</v>
      </c>
      <c r="D12" t="s">
        <v>48</v>
      </c>
      <c r="E12" t="s">
        <v>193</v>
      </c>
      <c r="F12" t="s">
        <v>182</v>
      </c>
    </row>
    <row r="13" spans="1:6">
      <c r="A13" t="s">
        <v>81</v>
      </c>
      <c r="B13" t="s">
        <v>82</v>
      </c>
      <c r="C13" t="s">
        <v>197</v>
      </c>
      <c r="D13" t="s">
        <v>57</v>
      </c>
      <c r="E13" t="s">
        <v>193</v>
      </c>
      <c r="F13" t="s">
        <v>182</v>
      </c>
    </row>
    <row r="14" spans="1:6">
      <c r="A14" t="s">
        <v>84</v>
      </c>
      <c r="B14" t="s">
        <v>85</v>
      </c>
      <c r="C14" t="s">
        <v>196</v>
      </c>
      <c r="D14" t="s">
        <v>48</v>
      </c>
      <c r="E14" t="s">
        <v>193</v>
      </c>
      <c r="F14" t="s">
        <v>182</v>
      </c>
    </row>
    <row r="15" spans="1:6">
      <c r="A15" t="s">
        <v>88</v>
      </c>
      <c r="B15" t="s">
        <v>89</v>
      </c>
      <c r="C15" t="s">
        <v>194</v>
      </c>
      <c r="D15" t="s">
        <v>42</v>
      </c>
      <c r="E15" t="s">
        <v>193</v>
      </c>
      <c r="F15" t="s">
        <v>182</v>
      </c>
    </row>
    <row r="16" spans="1:6">
      <c r="A16" t="s">
        <v>94</v>
      </c>
      <c r="B16" t="s">
        <v>94</v>
      </c>
      <c r="C16" t="s">
        <v>198</v>
      </c>
      <c r="D16" t="s">
        <v>57</v>
      </c>
      <c r="E16" t="s">
        <v>193</v>
      </c>
      <c r="F16" t="s">
        <v>182</v>
      </c>
    </row>
    <row r="17" spans="1:6">
      <c r="A17" t="s">
        <v>99</v>
      </c>
      <c r="B17" t="s">
        <v>99</v>
      </c>
      <c r="D17" t="s">
        <v>48</v>
      </c>
      <c r="E17" t="s">
        <v>193</v>
      </c>
      <c r="F17" t="s">
        <v>182</v>
      </c>
    </row>
    <row r="18" spans="1:6">
      <c r="A18" t="s">
        <v>208</v>
      </c>
      <c r="B18" t="s">
        <v>209</v>
      </c>
      <c r="D18" t="s">
        <v>48</v>
      </c>
      <c r="E18" t="s">
        <v>193</v>
      </c>
      <c r="F18" t="s">
        <v>182</v>
      </c>
    </row>
    <row r="19" spans="1:6">
      <c r="A19" t="s">
        <v>102</v>
      </c>
      <c r="B19" t="s">
        <v>102</v>
      </c>
      <c r="D19" t="s">
        <v>48</v>
      </c>
      <c r="E19" t="s">
        <v>193</v>
      </c>
      <c r="F19" t="s">
        <v>182</v>
      </c>
    </row>
    <row r="20" spans="1:6">
      <c r="A20" t="s">
        <v>105</v>
      </c>
      <c r="B20" t="s">
        <v>105</v>
      </c>
      <c r="D20" t="s">
        <v>48</v>
      </c>
      <c r="E20" t="s">
        <v>193</v>
      </c>
      <c r="F20" t="s">
        <v>182</v>
      </c>
    </row>
    <row r="21" spans="1:6">
      <c r="A21" t="s">
        <v>108</v>
      </c>
      <c r="B21" t="s">
        <v>108</v>
      </c>
      <c r="D21" t="s">
        <v>48</v>
      </c>
      <c r="E21" t="s">
        <v>193</v>
      </c>
      <c r="F21" t="s">
        <v>182</v>
      </c>
    </row>
    <row r="22" spans="1:6">
      <c r="A22" t="s">
        <v>111</v>
      </c>
      <c r="B22" t="s">
        <v>111</v>
      </c>
      <c r="D22" t="s">
        <v>48</v>
      </c>
      <c r="E22" t="s">
        <v>193</v>
      </c>
      <c r="F22" t="s">
        <v>182</v>
      </c>
    </row>
    <row r="23" spans="1:6">
      <c r="A23" t="s">
        <v>114</v>
      </c>
      <c r="B23" t="s">
        <v>114</v>
      </c>
      <c r="D23" t="s">
        <v>48</v>
      </c>
      <c r="E23" t="s">
        <v>193</v>
      </c>
      <c r="F23" t="s">
        <v>182</v>
      </c>
    </row>
    <row r="24" spans="1:6">
      <c r="A24" t="s">
        <v>118</v>
      </c>
      <c r="B24" t="s">
        <v>118</v>
      </c>
      <c r="D24" t="s">
        <v>48</v>
      </c>
      <c r="E24" t="s">
        <v>193</v>
      </c>
      <c r="F24" t="s">
        <v>182</v>
      </c>
    </row>
    <row r="25" spans="1:6">
      <c r="A25" t="s">
        <v>122</v>
      </c>
      <c r="B25" t="s">
        <v>122</v>
      </c>
      <c r="D25" t="s">
        <v>48</v>
      </c>
      <c r="E25" t="s">
        <v>193</v>
      </c>
      <c r="F25" t="s">
        <v>182</v>
      </c>
    </row>
    <row r="26" spans="1:6">
      <c r="A26" t="s">
        <v>125</v>
      </c>
      <c r="B26" t="s">
        <v>125</v>
      </c>
      <c r="D26" t="s">
        <v>48</v>
      </c>
      <c r="E26" t="s">
        <v>193</v>
      </c>
      <c r="F26" t="s">
        <v>182</v>
      </c>
    </row>
    <row r="27" spans="1:6">
      <c r="A27" t="s">
        <v>128</v>
      </c>
      <c r="B27" t="s">
        <v>128</v>
      </c>
      <c r="D27" t="s">
        <v>48</v>
      </c>
      <c r="E27" t="s">
        <v>193</v>
      </c>
      <c r="F27" t="s">
        <v>182</v>
      </c>
    </row>
    <row r="28" spans="1:6">
      <c r="A28" t="s">
        <v>131</v>
      </c>
      <c r="B28" t="s">
        <v>131</v>
      </c>
      <c r="D28" t="s">
        <v>48</v>
      </c>
      <c r="E28" t="s">
        <v>193</v>
      </c>
      <c r="F28" t="s">
        <v>182</v>
      </c>
    </row>
    <row r="29" spans="1:6">
      <c r="A29" t="s">
        <v>135</v>
      </c>
      <c r="B29" t="s">
        <v>135</v>
      </c>
      <c r="D29" t="s">
        <v>48</v>
      </c>
      <c r="E29" t="s">
        <v>193</v>
      </c>
      <c r="F29" t="s">
        <v>182</v>
      </c>
    </row>
    <row r="30" spans="1:6">
      <c r="A30" t="s">
        <v>138</v>
      </c>
      <c r="B30" t="s">
        <v>138</v>
      </c>
      <c r="D30" t="s">
        <v>48</v>
      </c>
      <c r="E30" t="s">
        <v>193</v>
      </c>
      <c r="F30" t="s">
        <v>182</v>
      </c>
    </row>
    <row r="31" spans="1:6">
      <c r="A31" t="s">
        <v>142</v>
      </c>
      <c r="B31" t="s">
        <v>142</v>
      </c>
      <c r="D31" t="s">
        <v>42</v>
      </c>
      <c r="E31" t="s">
        <v>193</v>
      </c>
      <c r="F31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199</v>
      </c>
      <c r="G1" s="2" t="s">
        <v>200</v>
      </c>
      <c r="H1" s="2" t="s">
        <v>201</v>
      </c>
      <c r="I1" s="2" t="s">
        <v>202</v>
      </c>
      <c r="J1" s="2" t="s">
        <v>27</v>
      </c>
    </row>
    <row r="2" spans="1:10">
      <c r="F2" t="s">
        <v>203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204</v>
      </c>
      <c r="D1" s="2" t="s">
        <v>205</v>
      </c>
      <c r="E1" s="2" t="s">
        <v>206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2026-08-26T19:53:16Z</dcterms:modified>
</cp:coreProperties>
</file>