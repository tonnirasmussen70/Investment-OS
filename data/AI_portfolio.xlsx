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98676285-BA67-4D03-87F5-5A0110A434F1}" xr6:coauthVersionLast="47" xr6:coauthVersionMax="47" xr10:uidLastSave="{00000000-0000-0000-0000-000000000000}"/>
  <bookViews>
    <workbookView xWindow="28680" yWindow="75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M14" i="1"/>
  <c r="O18" i="1"/>
  <c r="O2" i="1"/>
  <c r="E2" i="7"/>
  <c r="O30" i="1"/>
  <c r="M30" i="1"/>
  <c r="L30" i="1"/>
  <c r="P30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N20" i="1" s="1"/>
  <c r="O19" i="1"/>
  <c r="M19" i="1"/>
  <c r="L19" i="1"/>
  <c r="P19" i="1" s="1"/>
  <c r="O17" i="1"/>
  <c r="M17" i="1"/>
  <c r="L17" i="1"/>
  <c r="P17" i="1" s="1"/>
  <c r="O16" i="1"/>
  <c r="M16" i="1"/>
  <c r="L16" i="1"/>
  <c r="P16" i="1" s="1"/>
  <c r="O15" i="1"/>
  <c r="M15" i="1"/>
  <c r="L15" i="1"/>
  <c r="N15" i="1" s="1"/>
  <c r="O14" i="1"/>
  <c r="L14" i="1"/>
  <c r="N14" i="1" s="1"/>
  <c r="O13" i="1"/>
  <c r="M13" i="1"/>
  <c r="L13" i="1"/>
  <c r="N13" i="1" s="1"/>
  <c r="O12" i="1"/>
  <c r="M12" i="1"/>
  <c r="L12" i="1"/>
  <c r="P12" i="1" s="1"/>
  <c r="O10" i="1"/>
  <c r="M10" i="1"/>
  <c r="L10" i="1"/>
  <c r="P10" i="1" s="1"/>
  <c r="O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9" i="1" l="1"/>
  <c r="R9" i="1" s="1"/>
  <c r="N30" i="1"/>
  <c r="N3" i="1"/>
  <c r="R3" i="1" s="1"/>
  <c r="P8" i="1"/>
  <c r="N10" i="1"/>
  <c r="P14" i="1"/>
  <c r="Q10" i="1"/>
  <c r="Q3" i="1"/>
  <c r="N2" i="1"/>
  <c r="N19" i="1"/>
  <c r="R19" i="1" s="1"/>
  <c r="P7" i="1"/>
  <c r="P15" i="1"/>
  <c r="N16" i="1"/>
  <c r="R16" i="1" s="1"/>
  <c r="R29" i="1"/>
  <c r="Q29" i="1"/>
  <c r="R7" i="1"/>
  <c r="Q7" i="1"/>
  <c r="R8" i="1"/>
  <c r="Q8" i="1"/>
  <c r="R14" i="1"/>
  <c r="Q14" i="1"/>
  <c r="R15" i="1"/>
  <c r="Q15" i="1"/>
  <c r="R4" i="1"/>
  <c r="Q4" i="1"/>
  <c r="R13" i="1"/>
  <c r="Q13" i="1"/>
  <c r="R20" i="1"/>
  <c r="Q20" i="1"/>
  <c r="R5" i="1"/>
  <c r="Q5" i="1"/>
  <c r="P5" i="1"/>
  <c r="R10" i="1"/>
  <c r="P13" i="1"/>
  <c r="P20" i="1"/>
  <c r="N22" i="1"/>
  <c r="P29" i="1"/>
  <c r="N24" i="1"/>
  <c r="N26" i="1"/>
  <c r="Q9" i="1"/>
  <c r="N12" i="1"/>
  <c r="N28" i="1"/>
  <c r="P4" i="1"/>
  <c r="N6" i="1"/>
  <c r="N21" i="1"/>
  <c r="N23" i="1"/>
  <c r="N17" i="1"/>
  <c r="N25" i="1"/>
  <c r="N27" i="1"/>
  <c r="R2" i="1" l="1"/>
  <c r="S11" i="1"/>
  <c r="S15" i="1"/>
  <c r="S8" i="1"/>
  <c r="Q19" i="1"/>
  <c r="Q2" i="1"/>
  <c r="S30" i="1"/>
  <c r="Q16" i="1"/>
  <c r="S14" i="1"/>
  <c r="S3" i="1"/>
  <c r="R30" i="1"/>
  <c r="Q30" i="1"/>
  <c r="S16" i="1"/>
  <c r="S26" i="1"/>
  <c r="R26" i="1"/>
  <c r="Q26" i="1"/>
  <c r="S10" i="1"/>
  <c r="R6" i="1"/>
  <c r="S6" i="1"/>
  <c r="Q6" i="1"/>
  <c r="S7" i="1"/>
  <c r="S19" i="1"/>
  <c r="S13" i="1"/>
  <c r="S21" i="1"/>
  <c r="R21" i="1"/>
  <c r="Q21" i="1"/>
  <c r="S24" i="1"/>
  <c r="R24" i="1"/>
  <c r="Q24" i="1"/>
  <c r="S20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2" i="1"/>
  <c r="R12" i="1"/>
  <c r="Q12" i="1"/>
  <c r="Q17" i="1"/>
  <c r="S17" i="1"/>
  <c r="R17" i="1"/>
  <c r="S9" i="1"/>
  <c r="S4" i="1"/>
  <c r="S23" i="1"/>
  <c r="R23" i="1"/>
  <c r="Q23" i="1"/>
  <c r="S5" i="1"/>
  <c r="S2" i="1"/>
</calcChain>
</file>

<file path=xl/sharedStrings.xml><?xml version="1.0" encoding="utf-8"?>
<sst xmlns="http://schemas.openxmlformats.org/spreadsheetml/2006/main" count="600" uniqueCount="220">
  <si>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</si>
  <si>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</si>
  <si>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</si>
  <si>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</si>
  <si>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</si>
  <si>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</si>
  <si>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</si>
  <si>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</si>
  <si>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</si>
  <si>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</si>
  <si>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</si>
  <si>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</si>
  <si>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</si>
  <si>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</si>
  <si>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</si>
  <si>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</si>
  <si>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</si>
  <si>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</si>
  <si>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</si>
  <si>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</si>
  <si>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</si>
  <si>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</si>
  <si>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</si>
  <si>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</si>
  <si>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</si>
  <si>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</si>
  <si>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</si>
  <si>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</si>
  <si>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</si>
  <si>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</si>
  <si>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</si>
  <si>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</si>
  <si>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</si>
  <si>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</si>
  <si>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</si>
  <si>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</si>
  <si>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</si>
  <si>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</si>
  <si>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</si>
  <si>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</si>
  <si>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</si>
  <si>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</si>
  <si>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</si>
  <si>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</si>
  <si>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</si>
  <si>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</si>
  <si>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</si>
  <si>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</si>
  <si>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</si>
  <si>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</si>
  <si>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</si>
  <si>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</si>
  <si>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</si>
  <si>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</si>
  <si>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</si>
  <si>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</si>
  <si>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</si>
  <si>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</si>
  <si>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</si>
  <si>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</si>
  <si>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</si>
  <si>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</si>
  <si>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</si>
  <si>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</si>
  <si>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</si>
  <si>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</si>
  <si>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</si>
  <si>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</si>
  <si>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</si>
  <si>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</si>
  <si>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</si>
  <si>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</si>
  <si>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</si>
  <si>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</si>
  <si>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</si>
  <si>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</si>
  <si>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</si>
  <si>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</si>
  <si>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</si>
  <si>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</si>
  <si>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</si>
  <si>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</si>
  <si>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</si>
  <si>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</si>
  <si>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</si>
  <si>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</si>
  <si>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</si>
  <si>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</si>
  <si>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</si>
  <si>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</si>
  <si>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</si>
  <si>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</si>
  <si>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</si>
  <si>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</si>
  <si>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</si>
  <si>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</si>
  <si>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</si>
  <si>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</si>
  <si>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</si>
  <si>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</si>
  <si>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</si>
  <si>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</si>
  <si>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</si>
  <si>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</si>
  <si>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</si>
  <si>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</si>
  <si>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</si>
  <si>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</si>
  <si>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</si>
  <si>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</si>
  <si>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</si>
  <si>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</si>
  <si>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</si>
  <si>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</si>
  <si>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</si>
  <si>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</si>
  <si>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</si>
  <si>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</si>
  <si>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</si>
  <si>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</si>
  <si>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</si>
  <si>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</si>
  <si>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</si>
  <si>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</si>
  <si>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</si>
  <si>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</si>
  <si>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</si>
  <si>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</si>
  <si>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</si>
  <si>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</si>
  <si>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</si>
  <si>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</si>
  <si>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</si>
  <si>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</si>
  <si>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</si>
  <si>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</si>
  <si>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</si>
  <si>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</si>
  <si>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</si>
  <si>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</si>
  <si>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</si>
  <si>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</si>
  <si>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</si>
  <si>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</si>
  <si>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</si>
  <si>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</si>
  <si>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</si>
  <si>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</si>
  <si>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</si>
  <si>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</si>
  <si>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</si>
  <si>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</si>
  <si>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</si>
  <si>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</si>
  <si>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</si>
  <si>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</si>
  <si>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</si>
  <si>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</si>
  <si>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</si>
  <si>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</si>
  <si>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</si>
  <si>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</si>
  <si>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</si>
  <si>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</si>
  <si>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</si>
  <si>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</si>
  <si>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</si>
  <si>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</si>
  <si>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</si>
  <si>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</si>
  <si>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</si>
  <si>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</si>
  <si>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</si>
  <si>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</si>
  <si>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</si>
  <si>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</si>
  <si>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</si>
  <si>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</si>
  <si>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</si>
  <si>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</si>
  <si>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</si>
  <si>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</si>
  <si>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</si>
  <si>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</si>
  <si>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</si>
  <si>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</si>
  <si>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</si>
  <si>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</si>
  <si>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</si>
  <si>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</si>
  <si>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</si>
  <si>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</si>
  <si>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</si>
  <si>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</si>
  <si>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</si>
  <si>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</si>
  <si>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</si>
  <si>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</si>
  <si>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</si>
  <si>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</si>
  <si>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</si>
  <si>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</si>
  <si>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</si>
  <si>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</si>
  <si>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</si>
  <si>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</si>
  <si>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</si>
  <si>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</si>
  <si>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</si>
  <si>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</si>
  <si>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</si>
  <si>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</si>
  <si>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</si>
  <si>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</si>
  <si>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</si>
  <si>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</si>
  <si>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Celestica</t>
  </si>
  <si>
    <t>CLS</t>
  </si>
  <si>
    <t>Part of SEC0 0,49%</t>
  </si>
  <si>
    <t>Entry 295$, FV 365$, support 260$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</si>
</sst>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1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3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0"/>
  <sheetViews>
    <sheetView tabSelected="1" zoomScale="80" zoomScaleNormal="80" workbookViewId="0">
      <selection activeCell="H15" sqref="H15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29" ca="1" si="1">IFERROR(G2*K2*L2,"")</f>
        <v/>
      </c>
      <c r="O2" s="12">
        <f>IFERROR(K2/H2-1,"")</f>
        <v>0.13300607216806659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t="shared" ref="S2:S17" ca="1" si="5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0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200.43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30665.79</v>
      </c>
      <c r="N5" s="11">
        <f t="shared" si="1"/>
        <v>57742.2</v>
      </c>
      <c r="O5" s="12">
        <f t="shared" si="6"/>
        <v>0.88295165394402009</v>
      </c>
      <c r="P5" s="12">
        <f t="shared" si="2"/>
        <v>0</v>
      </c>
      <c r="Q5" s="11">
        <f t="shared" si="3"/>
        <v>27076.409999999996</v>
      </c>
      <c r="R5" s="12">
        <f t="shared" si="4"/>
        <v>0.88295165394402031</v>
      </c>
      <c r="S5" s="12">
        <f t="shared" ca="1" si="5"/>
        <v>8.0429992948366363E-2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59</v>
      </c>
      <c r="H6" s="8">
        <v>42.62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-6.1473486625997165E-2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16</v>
      </c>
      <c r="H7" s="8">
        <v>396.46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7.1987085708520526E-2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406.95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25637.85</v>
      </c>
      <c r="N8" s="11">
        <f t="shared" si="1"/>
        <v>57330</v>
      </c>
      <c r="O8" s="12">
        <f t="shared" si="6"/>
        <v>1.2361469467993613</v>
      </c>
      <c r="P8" s="12">
        <f t="shared" si="2"/>
        <v>0</v>
      </c>
      <c r="Q8" s="11">
        <f t="shared" si="3"/>
        <v>31692.15</v>
      </c>
      <c r="R8" s="12">
        <f t="shared" si="4"/>
        <v>1.2361469467993613</v>
      </c>
      <c r="S8" s="12">
        <f t="shared" ca="1" si="5"/>
        <v>7.9855833268040424E-2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0.13946982161978635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18</v>
      </c>
      <c r="H10" s="8">
        <v>599.5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10791</v>
      </c>
      <c r="N10" s="11">
        <f t="shared" si="1"/>
        <v>15242.4</v>
      </c>
      <c r="O10" s="12">
        <f t="shared" si="6"/>
        <v>0.41251042535446203</v>
      </c>
      <c r="P10" s="12">
        <f t="shared" si="2"/>
        <v>0</v>
      </c>
      <c r="Q10" s="11">
        <f t="shared" si="3"/>
        <v>4451.3999999999996</v>
      </c>
      <c r="R10" s="12">
        <f t="shared" si="4"/>
        <v>0.41251042535446203</v>
      </c>
      <c r="S10" s="12">
        <f t="shared" ca="1" si="5"/>
        <v>2.1231371934498158E-2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209</v>
      </c>
      <c r="D11" s="6" t="s">
        <v>211</v>
      </c>
      <c r="E11" s="6" t="s">
        <v>210</v>
      </c>
      <c r="F11" s="6"/>
      <c r="G11" s="7">
        <v>10</v>
      </c>
      <c r="H11" s="8">
        <v>110.64</v>
      </c>
      <c r="I11" s="6" t="s">
        <v>48</v>
      </c>
      <c r="J11" s="9"/>
      <c r="K11" s="8">
        <v>110.8</v>
      </c>
      <c r="L11" s="13"/>
      <c r="M11" s="11"/>
      <c r="N11" s="11"/>
      <c r="O11" s="12">
        <f>IFERROR(K11/H11-1,"")</f>
        <v>1.4461315979754641E-3</v>
      </c>
      <c r="P11" s="12" t="str">
        <f>IFERROR(L11/J11-1,"")</f>
        <v/>
      </c>
      <c r="Q11" s="11">
        <f>IFERROR(N11-M11,"")</f>
        <v>0</v>
      </c>
      <c r="R11" s="12" t="str">
        <f>IFERROR(N11/M11-1,"")</f>
        <v/>
      </c>
      <c r="S11" s="12">
        <f t="shared" ca="1" si="5"/>
        <v>0</v>
      </c>
      <c r="T11" s="6" t="s">
        <v>49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76</v>
      </c>
      <c r="D12" s="6" t="s">
        <v>77</v>
      </c>
      <c r="E12" s="6" t="s">
        <v>78</v>
      </c>
      <c r="F12" s="6"/>
      <c r="G12" s="7">
        <v>10</v>
      </c>
      <c r="H12" s="8">
        <v>142.09</v>
      </c>
      <c r="I12" s="6" t="s">
        <v>48</v>
      </c>
      <c r="J12" s="9"/>
      <c r="K12" s="8">
        <v>157.72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0.11000070377929472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34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80</v>
      </c>
      <c r="D13" s="6" t="s">
        <v>81</v>
      </c>
      <c r="E13" s="6" t="s">
        <v>82</v>
      </c>
      <c r="F13" s="6"/>
      <c r="G13" s="7">
        <v>14</v>
      </c>
      <c r="H13" s="8">
        <v>414.7</v>
      </c>
      <c r="I13" s="6" t="s">
        <v>57</v>
      </c>
      <c r="J13" s="9"/>
      <c r="K13" s="8">
        <v>418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7.9575596816976457E-3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49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29</v>
      </c>
      <c r="C14" s="14" t="s">
        <v>87</v>
      </c>
      <c r="D14" s="6" t="s">
        <v>88</v>
      </c>
      <c r="E14" s="6" t="s">
        <v>89</v>
      </c>
      <c r="F14" s="6"/>
      <c r="G14" s="7">
        <v>133</v>
      </c>
      <c r="H14" s="8">
        <v>158.44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>IFERROR(G14*H14*J14,"")</f>
        <v>21072.52</v>
      </c>
      <c r="N14" s="11">
        <f t="shared" si="1"/>
        <v>23481.15</v>
      </c>
      <c r="O14" s="12">
        <f t="shared" si="6"/>
        <v>0.11430194395354709</v>
      </c>
      <c r="P14" s="12">
        <f t="shared" si="2"/>
        <v>0</v>
      </c>
      <c r="Q14" s="11">
        <f t="shared" si="3"/>
        <v>2408.630000000001</v>
      </c>
      <c r="R14" s="12">
        <f t="shared" si="4"/>
        <v>0.11430194395354709</v>
      </c>
      <c r="S14" s="12">
        <f t="shared" ca="1" si="5"/>
        <v>3.2707252735772678E-2</v>
      </c>
      <c r="T14" s="6" t="s">
        <v>90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91</v>
      </c>
      <c r="B15" s="6" t="s">
        <v>92</v>
      </c>
      <c r="C15" s="14" t="s">
        <v>93</v>
      </c>
      <c r="D15" s="6" t="s">
        <v>212</v>
      </c>
      <c r="E15" s="6" t="s">
        <v>212</v>
      </c>
      <c r="F15" s="6"/>
      <c r="G15" s="7">
        <v>27</v>
      </c>
      <c r="H15" s="8">
        <v>58.2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-3.4364261168385868E-3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94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95</v>
      </c>
      <c r="AB15" s="14"/>
    </row>
    <row r="16" spans="1:28">
      <c r="A16" s="6" t="s">
        <v>96</v>
      </c>
      <c r="B16" s="6" t="s">
        <v>92</v>
      </c>
      <c r="C16" s="14" t="s">
        <v>97</v>
      </c>
      <c r="D16" s="6" t="s">
        <v>98</v>
      </c>
      <c r="E16" s="6" t="s">
        <v>98</v>
      </c>
      <c r="F16" s="6"/>
      <c r="G16" s="7">
        <v>39</v>
      </c>
      <c r="H16" s="8">
        <v>46.25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3.7837837837837895E-2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99</v>
      </c>
      <c r="B17" s="6" t="s">
        <v>92</v>
      </c>
      <c r="C17" s="14" t="s">
        <v>100</v>
      </c>
      <c r="D17" s="6" t="s">
        <v>101</v>
      </c>
      <c r="E17" s="6" t="s">
        <v>101</v>
      </c>
      <c r="F17" s="6"/>
      <c r="G17" s="7">
        <v>52</v>
      </c>
      <c r="H17" s="8">
        <v>29.05</v>
      </c>
      <c r="I17" s="6" t="s">
        <v>48</v>
      </c>
      <c r="J17" s="9"/>
      <c r="K17" s="8">
        <v>23</v>
      </c>
      <c r="L17" s="13" t="str">
        <f ca="1">IF(I17="DKK",1,IFERROR(_xludf.XLOOKUP(I17,FX!$A$2:$A$20,FX!$B$2:$B$20,""),""))</f>
        <v/>
      </c>
      <c r="M17" s="11">
        <f>IFERROR(G17*H17*J17,"")</f>
        <v>0</v>
      </c>
      <c r="N17" s="11" t="str">
        <f ca="1">IFERROR(G17*K17*L17,"")</f>
        <v/>
      </c>
      <c r="O17" s="12">
        <f>IFERROR(K17/H17-1,"")</f>
        <v>-0.20826161790017217</v>
      </c>
      <c r="P17" s="12" t="str">
        <f ca="1">IFERROR(L17/J17-1,"")</f>
        <v/>
      </c>
      <c r="Q17" s="11" t="str">
        <f ca="1">IFERROR(N17-M17,"")</f>
        <v/>
      </c>
      <c r="R17" s="12" t="str">
        <f ca="1">IFERROR(N17/M17-1,"")</f>
        <v/>
      </c>
      <c r="S17" s="12">
        <f t="shared" ca="1" si="5"/>
        <v>0</v>
      </c>
      <c r="T17" s="6" t="s">
        <v>90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102</v>
      </c>
      <c r="B18" s="6" t="s">
        <v>92</v>
      </c>
      <c r="C18" s="14" t="s">
        <v>205</v>
      </c>
      <c r="D18" s="6" t="s">
        <v>206</v>
      </c>
      <c r="E18" s="6" t="s">
        <v>207</v>
      </c>
      <c r="F18" s="6"/>
      <c r="G18" s="7">
        <v>17</v>
      </c>
      <c r="H18" s="8">
        <v>79.010000000000005</v>
      </c>
      <c r="I18" s="6" t="s">
        <v>48</v>
      </c>
      <c r="J18" s="9"/>
      <c r="K18" s="8">
        <v>79</v>
      </c>
      <c r="L18" s="13"/>
      <c r="M18" s="11"/>
      <c r="N18" s="11"/>
      <c r="O18" s="12">
        <f t="shared" si="6"/>
        <v>-1.2656625743578953E-4</v>
      </c>
      <c r="P18" s="12"/>
      <c r="Q18" s="11"/>
      <c r="R18" s="12"/>
      <c r="S18" s="12"/>
      <c r="T18" s="6" t="s">
        <v>138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105</v>
      </c>
      <c r="B19" s="6" t="s">
        <v>92</v>
      </c>
      <c r="C19" s="14" t="s">
        <v>103</v>
      </c>
      <c r="D19" s="6" t="s">
        <v>104</v>
      </c>
      <c r="E19" s="6" t="s">
        <v>104</v>
      </c>
      <c r="F19" s="6"/>
      <c r="G19" s="7">
        <v>185</v>
      </c>
      <c r="H19" s="8">
        <v>10.71</v>
      </c>
      <c r="I19" s="6" t="s">
        <v>48</v>
      </c>
      <c r="J19" s="9"/>
      <c r="K19" s="8">
        <v>9.3000000000000007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-0.13165266106442575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ref="S19:S30" ca="1" si="7">IF(W19=TRUE,IFERROR(N19/SUMIFS($N$2:$N$501,$W$2:$W$501,TRUE),0),0)</f>
        <v>0</v>
      </c>
      <c r="T19" s="6" t="s">
        <v>90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108</v>
      </c>
      <c r="B20" s="6" t="s">
        <v>92</v>
      </c>
      <c r="C20" s="14" t="s">
        <v>106</v>
      </c>
      <c r="D20" s="6" t="s">
        <v>107</v>
      </c>
      <c r="E20" s="6" t="s">
        <v>107</v>
      </c>
      <c r="F20" s="6"/>
      <c r="G20" s="7">
        <v>363</v>
      </c>
      <c r="H20" s="8">
        <v>10</v>
      </c>
      <c r="I20" s="6" t="s">
        <v>48</v>
      </c>
      <c r="J20" s="9"/>
      <c r="K20" s="8">
        <v>17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0.7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7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111</v>
      </c>
      <c r="B21" s="6" t="s">
        <v>92</v>
      </c>
      <c r="C21" s="14" t="s">
        <v>109</v>
      </c>
      <c r="D21" s="6" t="s">
        <v>110</v>
      </c>
      <c r="E21" s="6" t="s">
        <v>110</v>
      </c>
      <c r="F21" s="6"/>
      <c r="G21" s="7">
        <v>9</v>
      </c>
      <c r="H21" s="8">
        <v>108.73</v>
      </c>
      <c r="I21" s="6" t="s">
        <v>48</v>
      </c>
      <c r="J21" s="9"/>
      <c r="K21" s="8">
        <v>105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-3.4305159569576027E-2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7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115</v>
      </c>
      <c r="B22" s="6" t="s">
        <v>92</v>
      </c>
      <c r="C22" s="14" t="s">
        <v>112</v>
      </c>
      <c r="D22" s="6" t="s">
        <v>113</v>
      </c>
      <c r="E22" s="6" t="s">
        <v>113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7"/>
        <v>0</v>
      </c>
      <c r="T22" s="6" t="s">
        <v>114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119</v>
      </c>
      <c r="B23" s="6" t="s">
        <v>92</v>
      </c>
      <c r="C23" s="14" t="s">
        <v>116</v>
      </c>
      <c r="D23" s="6" t="s">
        <v>117</v>
      </c>
      <c r="E23" s="6" t="s">
        <v>117</v>
      </c>
      <c r="F23" s="6"/>
      <c r="G23" s="7">
        <v>44</v>
      </c>
      <c r="H23" s="8">
        <v>57.12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-1.9607843137254832E-2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7"/>
        <v>0</v>
      </c>
      <c r="T23" s="6" t="s">
        <v>118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122</v>
      </c>
      <c r="B24" s="6" t="s">
        <v>92</v>
      </c>
      <c r="C24" s="14" t="s">
        <v>120</v>
      </c>
      <c r="D24" s="6" t="s">
        <v>121</v>
      </c>
      <c r="E24" s="6" t="s">
        <v>121</v>
      </c>
      <c r="F24" s="6"/>
      <c r="G24" s="7">
        <v>47</v>
      </c>
      <c r="H24" s="8">
        <v>28.1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-7.4733096085409345E-2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7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125</v>
      </c>
      <c r="B25" s="6" t="s">
        <v>92</v>
      </c>
      <c r="C25" s="14" t="s">
        <v>123</v>
      </c>
      <c r="D25" s="6" t="s">
        <v>124</v>
      </c>
      <c r="E25" s="6" t="s">
        <v>124</v>
      </c>
      <c r="F25" s="6"/>
      <c r="G25" s="7">
        <v>161</v>
      </c>
      <c r="H25" s="8">
        <v>16.68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-0.28057553956834536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7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128</v>
      </c>
      <c r="B26" s="6" t="s">
        <v>92</v>
      </c>
      <c r="C26" s="14" t="s">
        <v>126</v>
      </c>
      <c r="D26" s="6" t="s">
        <v>127</v>
      </c>
      <c r="E26" s="6" t="s">
        <v>127</v>
      </c>
      <c r="F26" s="6"/>
      <c r="G26" s="7">
        <v>26</v>
      </c>
      <c r="H26" s="8">
        <v>57.13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-5.4787327148608456E-2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7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132</v>
      </c>
      <c r="B27" s="6" t="s">
        <v>92</v>
      </c>
      <c r="C27" s="14" t="s">
        <v>129</v>
      </c>
      <c r="D27" s="6" t="s">
        <v>130</v>
      </c>
      <c r="E27" s="6" t="s">
        <v>130</v>
      </c>
      <c r="F27" s="6"/>
      <c r="G27" s="7">
        <v>15</v>
      </c>
      <c r="H27" s="8">
        <v>95.51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-0.214741911841692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7"/>
        <v>0</v>
      </c>
      <c r="T27" s="6" t="s">
        <v>131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135</v>
      </c>
      <c r="B28" s="6" t="s">
        <v>92</v>
      </c>
      <c r="C28" s="14" t="s">
        <v>133</v>
      </c>
      <c r="D28" s="6" t="s">
        <v>134</v>
      </c>
      <c r="E28" s="6" t="s">
        <v>134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7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140</v>
      </c>
      <c r="B29" s="6" t="s">
        <v>92</v>
      </c>
      <c r="C29" s="14" t="s">
        <v>136</v>
      </c>
      <c r="D29" s="6" t="s">
        <v>137</v>
      </c>
      <c r="E29" s="6" t="s">
        <v>137</v>
      </c>
      <c r="F29" s="6"/>
      <c r="G29" s="7">
        <v>18</v>
      </c>
      <c r="H29" s="8">
        <v>159</v>
      </c>
      <c r="I29" s="6" t="s">
        <v>48</v>
      </c>
      <c r="J29" s="9"/>
      <c r="K29" s="8">
        <v>168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5.6603773584905648E-2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7"/>
        <v>0</v>
      </c>
      <c r="T29" s="6" t="s">
        <v>138</v>
      </c>
      <c r="U29" s="6" t="s">
        <v>139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208</v>
      </c>
      <c r="B30" s="6" t="s">
        <v>29</v>
      </c>
      <c r="C30" s="14" t="s">
        <v>141</v>
      </c>
      <c r="D30" s="6" t="s">
        <v>141</v>
      </c>
      <c r="E30" s="6" t="s">
        <v>141</v>
      </c>
      <c r="F30" s="6"/>
      <c r="G30" s="7">
        <v>260</v>
      </c>
      <c r="H30" s="8">
        <v>637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165620</v>
      </c>
      <c r="N30" s="11">
        <f>IFERROR(G30*K30*L30,"")</f>
        <v>432120</v>
      </c>
      <c r="O30" s="12">
        <f t="shared" si="6"/>
        <v>1.609105180533752</v>
      </c>
      <c r="P30" s="12">
        <f t="shared" si="2"/>
        <v>0</v>
      </c>
      <c r="Q30" s="11">
        <f t="shared" si="3"/>
        <v>266500</v>
      </c>
      <c r="R30" s="12">
        <f t="shared" si="4"/>
        <v>1.609105180533752</v>
      </c>
      <c r="S30" s="12">
        <f t="shared" ca="1" si="7"/>
        <v>0.60190655279584215</v>
      </c>
      <c r="T30" s="6" t="s">
        <v>58</v>
      </c>
      <c r="U30" s="6" t="s">
        <v>142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1"/>
  <sheetViews>
    <sheetView workbookViewId="0">
      <selection activeCell="A31" sqref="A3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52</v>
      </c>
      <c r="B5" t="s">
        <v>53</v>
      </c>
      <c r="C5" t="s">
        <v>193</v>
      </c>
      <c r="D5" t="s">
        <v>42</v>
      </c>
      <c r="E5" t="s">
        <v>192</v>
      </c>
      <c r="F5" t="s">
        <v>181</v>
      </c>
    </row>
    <row r="6" spans="1:6">
      <c r="A6" t="s">
        <v>56</v>
      </c>
      <c r="B6" t="s">
        <v>56</v>
      </c>
      <c r="D6" t="s">
        <v>57</v>
      </c>
      <c r="E6" t="s">
        <v>192</v>
      </c>
      <c r="F6" t="s">
        <v>181</v>
      </c>
    </row>
    <row r="7" spans="1:6">
      <c r="A7" t="s">
        <v>61</v>
      </c>
      <c r="B7" t="s">
        <v>62</v>
      </c>
      <c r="C7" t="s">
        <v>195</v>
      </c>
      <c r="D7" t="s">
        <v>48</v>
      </c>
      <c r="E7" t="s">
        <v>192</v>
      </c>
      <c r="F7" t="s">
        <v>181</v>
      </c>
    </row>
    <row r="8" spans="1:6">
      <c r="A8" t="s">
        <v>65</v>
      </c>
      <c r="B8" t="s">
        <v>65</v>
      </c>
      <c r="D8" t="s">
        <v>42</v>
      </c>
      <c r="E8" t="s">
        <v>192</v>
      </c>
      <c r="F8" t="s">
        <v>181</v>
      </c>
    </row>
    <row r="9" spans="1:6">
      <c r="A9" t="s">
        <v>68</v>
      </c>
      <c r="B9" t="s">
        <v>68</v>
      </c>
      <c r="D9" t="s">
        <v>42</v>
      </c>
      <c r="E9" t="s">
        <v>192</v>
      </c>
      <c r="F9" t="s">
        <v>181</v>
      </c>
    </row>
    <row r="10" spans="1:6">
      <c r="A10" t="s">
        <v>72</v>
      </c>
      <c r="B10" t="s">
        <v>73</v>
      </c>
      <c r="C10" t="s">
        <v>193</v>
      </c>
      <c r="D10" t="s">
        <v>42</v>
      </c>
      <c r="E10" t="s">
        <v>192</v>
      </c>
      <c r="F10" t="s">
        <v>181</v>
      </c>
    </row>
    <row r="11" spans="1:6">
      <c r="A11" t="s">
        <v>211</v>
      </c>
      <c r="B11" t="s">
        <v>210</v>
      </c>
      <c r="C11" t="s">
        <v>195</v>
      </c>
      <c r="D11" t="s">
        <v>48</v>
      </c>
      <c r="E11" t="s">
        <v>192</v>
      </c>
      <c r="F11" t="s">
        <v>181</v>
      </c>
    </row>
    <row r="12" spans="1:6">
      <c r="A12" t="s">
        <v>77</v>
      </c>
      <c r="B12" t="s">
        <v>78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81</v>
      </c>
      <c r="B13" t="s">
        <v>82</v>
      </c>
      <c r="C13" t="s">
        <v>196</v>
      </c>
      <c r="D13" t="s">
        <v>57</v>
      </c>
      <c r="E13" t="s">
        <v>192</v>
      </c>
      <c r="F13" t="s">
        <v>181</v>
      </c>
    </row>
    <row r="14" spans="1:6">
      <c r="A14" t="s">
        <v>84</v>
      </c>
      <c r="B14" t="s">
        <v>85</v>
      </c>
      <c r="C14" t="s">
        <v>195</v>
      </c>
      <c r="D14" t="s">
        <v>48</v>
      </c>
      <c r="E14" t="s">
        <v>192</v>
      </c>
      <c r="F14" t="s">
        <v>181</v>
      </c>
    </row>
    <row r="15" spans="1:6">
      <c r="A15" t="s">
        <v>88</v>
      </c>
      <c r="B15" t="s">
        <v>89</v>
      </c>
      <c r="C15" t="s">
        <v>193</v>
      </c>
      <c r="D15" t="s">
        <v>42</v>
      </c>
      <c r="E15" t="s">
        <v>192</v>
      </c>
      <c r="F15" t="s">
        <v>181</v>
      </c>
    </row>
    <row r="16" spans="1:6">
      <c r="A16" t="s">
        <v>212</v>
      </c>
      <c r="B16" t="s">
        <v>212</v>
      </c>
      <c r="C16" t="s">
        <v>195</v>
      </c>
      <c r="D16" t="s">
        <v>48</v>
      </c>
      <c r="E16" t="s">
        <v>192</v>
      </c>
      <c r="F16" t="s">
        <v>181</v>
      </c>
    </row>
    <row r="17" spans="1:6">
      <c r="A17" t="s">
        <v>98</v>
      </c>
      <c r="B17" t="s">
        <v>98</v>
      </c>
      <c r="D17" t="s">
        <v>48</v>
      </c>
      <c r="E17" t="s">
        <v>192</v>
      </c>
      <c r="F17" t="s">
        <v>181</v>
      </c>
    </row>
    <row r="18" spans="1:6">
      <c r="A18" t="s">
        <v>206</v>
      </c>
      <c r="B18" t="s">
        <v>207</v>
      </c>
      <c r="D18" t="s">
        <v>48</v>
      </c>
      <c r="E18" t="s">
        <v>192</v>
      </c>
      <c r="F18" t="s">
        <v>181</v>
      </c>
    </row>
    <row r="19" spans="1:6">
      <c r="A19" t="s">
        <v>104</v>
      </c>
      <c r="B19" t="s">
        <v>104</v>
      </c>
      <c r="D19" t="s">
        <v>48</v>
      </c>
      <c r="E19" t="s">
        <v>192</v>
      </c>
      <c r="F19" t="s">
        <v>181</v>
      </c>
    </row>
    <row r="20" spans="1:6">
      <c r="A20" t="s">
        <v>101</v>
      </c>
      <c r="B20" t="s">
        <v>101</v>
      </c>
      <c r="D20" t="s">
        <v>48</v>
      </c>
      <c r="E20" t="s">
        <v>192</v>
      </c>
      <c r="F20" t="s">
        <v>181</v>
      </c>
    </row>
    <row r="21" spans="1:6">
      <c r="A21" t="s">
        <v>107</v>
      </c>
      <c r="B21" t="s">
        <v>107</v>
      </c>
      <c r="D21" t="s">
        <v>48</v>
      </c>
      <c r="E21" t="s">
        <v>192</v>
      </c>
      <c r="F21" t="s">
        <v>181</v>
      </c>
    </row>
    <row r="22" spans="1:6">
      <c r="A22" t="s">
        <v>110</v>
      </c>
      <c r="B22" t="s">
        <v>110</v>
      </c>
      <c r="D22" t="s">
        <v>48</v>
      </c>
      <c r="E22" t="s">
        <v>192</v>
      </c>
      <c r="F22" t="s">
        <v>181</v>
      </c>
    </row>
    <row r="23" spans="1:6">
      <c r="A23" t="s">
        <v>113</v>
      </c>
      <c r="B23" t="s">
        <v>113</v>
      </c>
      <c r="D23" t="s">
        <v>48</v>
      </c>
      <c r="E23" t="s">
        <v>192</v>
      </c>
      <c r="F23" t="s">
        <v>181</v>
      </c>
    </row>
    <row r="24" spans="1:6">
      <c r="A24" t="s">
        <v>117</v>
      </c>
      <c r="B24" t="s">
        <v>117</v>
      </c>
      <c r="D24" t="s">
        <v>48</v>
      </c>
      <c r="E24" t="s">
        <v>192</v>
      </c>
      <c r="F24" t="s">
        <v>181</v>
      </c>
    </row>
    <row r="25" spans="1:6">
      <c r="A25" t="s">
        <v>121</v>
      </c>
      <c r="B25" t="s">
        <v>121</v>
      </c>
      <c r="D25" t="s">
        <v>48</v>
      </c>
      <c r="E25" t="s">
        <v>192</v>
      </c>
      <c r="F25" t="s">
        <v>181</v>
      </c>
    </row>
    <row r="26" spans="1:6">
      <c r="A26" t="s">
        <v>124</v>
      </c>
      <c r="B26" t="s">
        <v>124</v>
      </c>
      <c r="D26" t="s">
        <v>48</v>
      </c>
      <c r="E26" t="s">
        <v>192</v>
      </c>
      <c r="F26" t="s">
        <v>181</v>
      </c>
    </row>
    <row r="27" spans="1:6">
      <c r="A27" t="s">
        <v>127</v>
      </c>
      <c r="B27" t="s">
        <v>127</v>
      </c>
      <c r="D27" t="s">
        <v>48</v>
      </c>
      <c r="E27" t="s">
        <v>192</v>
      </c>
      <c r="F27" t="s">
        <v>181</v>
      </c>
    </row>
    <row r="28" spans="1:6">
      <c r="A28" t="s">
        <v>130</v>
      </c>
      <c r="B28" t="s">
        <v>130</v>
      </c>
      <c r="D28" t="s">
        <v>48</v>
      </c>
      <c r="E28" t="s">
        <v>192</v>
      </c>
      <c r="F28" t="s">
        <v>181</v>
      </c>
    </row>
    <row r="29" spans="1:6">
      <c r="A29" t="s">
        <v>134</v>
      </c>
      <c r="B29" t="s">
        <v>134</v>
      </c>
      <c r="D29" t="s">
        <v>48</v>
      </c>
      <c r="E29" t="s">
        <v>192</v>
      </c>
      <c r="F29" t="s">
        <v>181</v>
      </c>
    </row>
    <row r="30" spans="1:6">
      <c r="A30" t="s">
        <v>137</v>
      </c>
      <c r="B30" t="s">
        <v>137</v>
      </c>
      <c r="D30" t="s">
        <v>48</v>
      </c>
      <c r="E30" t="s">
        <v>192</v>
      </c>
      <c r="F30" t="s">
        <v>181</v>
      </c>
    </row>
    <row r="31" spans="1:6">
      <c r="A31" t="s">
        <v>141</v>
      </c>
      <c r="B31" t="s">
        <v>141</v>
      </c>
      <c r="D31" t="s">
        <v>42</v>
      </c>
      <c r="E31" t="s">
        <v>192</v>
      </c>
      <c r="F31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3"/>
  <sheetViews>
    <sheetView workbookViewId="0">
      <selection activeCell="G7" sqref="G7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213</v>
      </c>
      <c r="B2" t="s">
        <v>214</v>
      </c>
      <c r="C2" t="s">
        <v>215</v>
      </c>
      <c r="D2" t="s">
        <v>48</v>
      </c>
      <c r="E2" t="s">
        <v>49</v>
      </c>
      <c r="I2">
        <v>94</v>
      </c>
      <c r="J2" t="s">
        <v>218</v>
      </c>
    </row>
    <row r="3" spans="1:10">
      <c r="A3" t="s">
        <v>216</v>
      </c>
      <c r="B3" t="s">
        <v>217</v>
      </c>
      <c r="C3" t="s">
        <v>217</v>
      </c>
      <c r="D3" t="s">
        <v>57</v>
      </c>
      <c r="E3" t="s">
        <v>49</v>
      </c>
      <c r="F3" t="s">
        <v>201</v>
      </c>
      <c r="G3">
        <v>290</v>
      </c>
      <c r="H3">
        <v>365</v>
      </c>
      <c r="I3">
        <v>91</v>
      </c>
      <c r="J3" t="s">
        <v>219</v>
      </c>
    </row>
  </sheetData>
  <conditionalFormatting sqref="G2:I201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L34" sqref="L3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202</v>
      </c>
      <c r="D1" s="2" t="s">
        <v>203</v>
      </c>
      <c r="E1" s="2" t="s">
        <v>204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74650</v>
      </c>
      <c r="D2" s="4">
        <v>1</v>
      </c>
      <c r="E2" s="4">
        <f>C2*D2</f>
        <v>74650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2026-09-08T15:31:08Z</dcterms:modified>
</cp:coreProperties>
</file>