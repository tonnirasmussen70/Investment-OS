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16575DF6-6415-46F5-8885-5A4D3392A070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M29" i="1"/>
  <c r="O29" i="1"/>
  <c r="G30" i="1"/>
  <c r="R6" i="1" l="1"/>
  <c r="Q6" i="1"/>
  <c r="P6" i="1"/>
  <c r="O6" i="1"/>
  <c r="M15" i="1"/>
  <c r="O19" i="1"/>
  <c r="O2" i="1"/>
  <c r="E2" i="7"/>
  <c r="O30" i="1"/>
  <c r="M30" i="1"/>
  <c r="L30" i="1"/>
  <c r="P30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2" i="1"/>
  <c r="M12" i="1"/>
  <c r="L12" i="1"/>
  <c r="P12" i="1" s="1"/>
  <c r="O11" i="1"/>
  <c r="M11" i="1"/>
  <c r="L11" i="1"/>
  <c r="P11" i="1" s="1"/>
  <c r="O10" i="1"/>
  <c r="M10" i="1"/>
  <c r="L10" i="1"/>
  <c r="N10" i="1" s="1"/>
  <c r="O9" i="1"/>
  <c r="M9" i="1"/>
  <c r="L9" i="1"/>
  <c r="N9" i="1" s="1"/>
  <c r="O8" i="1"/>
  <c r="M8" i="1"/>
  <c r="L8" i="1"/>
  <c r="P8" i="1" s="1"/>
  <c r="O7" i="1"/>
  <c r="M7" i="1"/>
  <c r="L7" i="1"/>
  <c r="N7" i="1" s="1"/>
  <c r="O5" i="1"/>
  <c r="M5" i="1"/>
  <c r="L5" i="1"/>
  <c r="N5" i="1" s="1"/>
  <c r="O3" i="1"/>
  <c r="M3" i="1"/>
  <c r="L3" i="1"/>
  <c r="P3" i="1" s="1"/>
  <c r="M2" i="1"/>
  <c r="L2" i="1"/>
  <c r="P2" i="1" s="1"/>
  <c r="N30" i="1" l="1"/>
  <c r="N11" i="1"/>
  <c r="R11" i="1" s="1"/>
  <c r="N3" i="1"/>
  <c r="R3" i="1" s="1"/>
  <c r="P10" i="1"/>
  <c r="N12" i="1"/>
  <c r="R12" i="1" s="1"/>
  <c r="P15" i="1"/>
  <c r="N2" i="1"/>
  <c r="N20" i="1"/>
  <c r="R20" i="1" s="1"/>
  <c r="P9" i="1"/>
  <c r="P16" i="1"/>
  <c r="N17" i="1"/>
  <c r="R17" i="1" s="1"/>
  <c r="R28" i="1"/>
  <c r="Q28" i="1"/>
  <c r="R9" i="1"/>
  <c r="Q9" i="1"/>
  <c r="R10" i="1"/>
  <c r="Q10" i="1"/>
  <c r="R15" i="1"/>
  <c r="Q15" i="1"/>
  <c r="R16" i="1"/>
  <c r="Q16" i="1"/>
  <c r="R5" i="1"/>
  <c r="Q5" i="1"/>
  <c r="R14" i="1"/>
  <c r="Q14" i="1"/>
  <c r="R21" i="1"/>
  <c r="Q21" i="1"/>
  <c r="R7" i="1"/>
  <c r="Q7" i="1"/>
  <c r="P7" i="1"/>
  <c r="P14" i="1"/>
  <c r="P21" i="1"/>
  <c r="N22" i="1"/>
  <c r="P28" i="1"/>
  <c r="N24" i="1"/>
  <c r="N26" i="1"/>
  <c r="N13" i="1"/>
  <c r="P5" i="1"/>
  <c r="N8" i="1"/>
  <c r="N23" i="1"/>
  <c r="N18" i="1"/>
  <c r="N25" i="1"/>
  <c r="N27" i="1"/>
  <c r="S29" i="1" l="1"/>
  <c r="Q3" i="1"/>
  <c r="Q12" i="1"/>
  <c r="S6" i="1"/>
  <c r="Q11" i="1"/>
  <c r="R2" i="1"/>
  <c r="S16" i="1"/>
  <c r="S10" i="1"/>
  <c r="Q20" i="1"/>
  <c r="Q2" i="1"/>
  <c r="S30" i="1"/>
  <c r="Q17" i="1"/>
  <c r="S15" i="1"/>
  <c r="S3" i="1"/>
  <c r="R30" i="1"/>
  <c r="Q30" i="1"/>
  <c r="S17" i="1"/>
  <c r="S26" i="1"/>
  <c r="R26" i="1"/>
  <c r="Q26" i="1"/>
  <c r="S12" i="1"/>
  <c r="R8" i="1"/>
  <c r="S8" i="1"/>
  <c r="Q8" i="1"/>
  <c r="S9" i="1"/>
  <c r="S20" i="1"/>
  <c r="S14" i="1"/>
  <c r="S24" i="1"/>
  <c r="R24" i="1"/>
  <c r="Q24" i="1"/>
  <c r="S21" i="1"/>
  <c r="S27" i="1"/>
  <c r="R27" i="1"/>
  <c r="Q27" i="1"/>
  <c r="S28" i="1"/>
  <c r="S22" i="1"/>
  <c r="R22" i="1"/>
  <c r="Q22" i="1"/>
  <c r="R25" i="1"/>
  <c r="Q25" i="1"/>
  <c r="S25" i="1"/>
  <c r="S13" i="1"/>
  <c r="R13" i="1"/>
  <c r="Q13" i="1"/>
  <c r="Q18" i="1"/>
  <c r="S18" i="1"/>
  <c r="R18" i="1"/>
  <c r="S11" i="1"/>
  <c r="S5" i="1"/>
  <c r="S23" i="1"/>
  <c r="R23" i="1"/>
  <c r="Q23" i="1"/>
  <c r="S7" i="1"/>
  <c r="S2" i="1"/>
</calcChain>
</file>

<file path=xl/sharedStrings.xml><?xml version="1.0" encoding="utf-8"?>
<sst xmlns="http://schemas.openxmlformats.org/spreadsheetml/2006/main" count="600" uniqueCount="221">
  <si>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</si>
  <si>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</si>
  <si>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</si>
  <si>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</si>
  <si>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</si>
  <si>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</si>
  <si>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</si>
  <si>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</si>
  <si>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</si>
  <si>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</si>
  <si>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</si>
  <si>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</si>
  <si>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</si>
  <si>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</si>
  <si>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</si>
  <si>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</si>
  <si>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</si>
  <si>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</si>
  <si>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</si>
  <si>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</si>
  <si>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</si>
  <si>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</si>
  <si>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</si>
  <si>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</si>
  <si>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</si>
  <si>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</si>
  <si>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</si>
  <si>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</si>
  <si>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</si>
  <si>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</si>
  <si>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</si>
  <si>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</si>
  <si>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</si>
  <si>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</si>
  <si>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</si>
  <si>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</si>
  <si>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</si>
  <si>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</si>
  <si>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</si>
  <si>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</si>
  <si>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</si>
  <si>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</si>
  <si>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</si>
  <si>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</si>
  <si>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</si>
  <si>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</si>
  <si>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</si>
  <si>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</si>
  <si>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</si>
  <si>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</si>
  <si>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</si>
  <si>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</si>
  <si>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</si>
  <si>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</si>
  <si>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</si>
  <si>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</si>
  <si>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</si>
  <si>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</si>
  <si>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</si>
  <si>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</si>
  <si>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</si>
  <si>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</si>
  <si>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</si>
  <si>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</si>
  <si>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</si>
  <si>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</si>
  <si>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</si>
  <si>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</si>
  <si>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</si>
  <si>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</si>
  <si>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</si>
  <si>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</si>
  <si>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</si>
  <si>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</si>
  <si>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</si>
  <si>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</si>
  <si>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</si>
  <si>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</si>
  <si>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</si>
  <si>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</si>
  <si>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</si>
  <si>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</si>
  <si>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</si>
  <si>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</si>
  <si>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</si>
  <si>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</si>
  <si>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</si>
  <si>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</si>
  <si>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</si>
  <si>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</si>
  <si>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</si>
  <si>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</si>
  <si>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</si>
  <si>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</si>
  <si>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</si>
  <si>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</si>
  <si>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</si>
  <si>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</si>
  <si>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</si>
  <si>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</si>
  <si>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</si>
  <si>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</si>
  <si>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</si>
  <si>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</si>
  <si>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</si>
  <si>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</si>
  <si>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</si>
  <si>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</si>
  <si>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</si>
  <si>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</si>
  <si>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</si>
  <si>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</si>
  <si>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</si>
  <si>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</si>
  <si>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</si>
  <si>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</si>
  <si>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</si>
  <si>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</si>
  <si>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</si>
  <si>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</si>
  <si>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</si>
  <si>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</si>
  <si>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</si>
  <si>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</si>
  <si>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</si>
  <si>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</si>
  <si>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</si>
  <si>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</si>
  <si>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</si>
  <si>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</si>
  <si>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</si>
  <si>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</si>
  <si>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</si>
  <si>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</si>
  <si>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</si>
  <si>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</si>
  <si>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</si>
  <si>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</si>
  <si>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</si>
  <si>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</si>
  <si>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</si>
  <si>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</si>
  <si>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</si>
  <si>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</si>
  <si>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</si>
  <si>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</si>
  <si>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</si>
  <si>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</si>
  <si>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</si>
  <si>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</si>
  <si>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</si>
  <si>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</si>
  <si>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</si>
  <si>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</si>
  <si>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</si>
  <si>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</si>
  <si>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</si>
  <si>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</si>
  <si>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</si>
  <si>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</si>
  <si>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</si>
  <si>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</si>
  <si>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</si>
  <si>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</si>
  <si>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</si>
  <si>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</si>
  <si>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</si>
  <si>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</si>
  <si>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</si>
  <si>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</si>
  <si>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</si>
  <si>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</si>
  <si>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</si>
  <si>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</si>
  <si>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</si>
  <si>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</si>
  <si>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</si>
  <si>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</si>
  <si>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</si>
  <si>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</si>
  <si>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</si>
  <si>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</si>
  <si>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</si>
  <si>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</si>
  <si>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</si>
  <si>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</si>
  <si>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</si>
  <si>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</si>
  <si>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</si>
  <si>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</si>
  <si>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</si>
  <si>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</si>
  <si>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</si>
  <si>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</si>
  <si>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</si>
  <si>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</si>
  <si>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</si>
  <si>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</si>
  <si>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</si>
  <si>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</si>
  <si>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</si>
  <si>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</si>
  <si>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</si>
  <si>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</si>
  <si>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</si>
  <si>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</si>
  <si>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</si>
  <si>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</si>
  <si>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</si>
  <si>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</si>
  <si>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</si>
  <si>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</si>
  <si>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</si>
  <si>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</si>
  <si>
    <t>A029</t>
  </si>
  <si>
    <t>A030</t>
  </si>
  <si>
    <t>Alphabet Inc. Class C</t>
  </si>
  <si>
    <t>GOOG:MIL</t>
  </si>
  <si>
    <t>GOOG</t>
  </si>
  <si>
    <t>MIL</t>
  </si>
  <si>
    <t>GOOG:XMIL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</si>
</sst>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tabSelected="1" zoomScale="80" zoomScaleNormal="80" workbookViewId="0">
      <selection activeCell="E4" sqref="E4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22</v>
      </c>
      <c r="H2" s="8">
        <v>923.49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8" ca="1" si="1">IFERROR(G2*K2*L2,"")</f>
        <v/>
      </c>
      <c r="O2" s="12">
        <f>IFERROR(K2/H2-1,"")</f>
        <v>5.4694690792536971E-2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ca="1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78</v>
      </c>
      <c r="H3" s="8">
        <v>532.6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41542.800000000003</v>
      </c>
      <c r="N3" s="11">
        <f t="shared" si="1"/>
        <v>49725</v>
      </c>
      <c r="O3" s="12">
        <f t="shared" ref="O3:O30" si="5">IFERROR(K3/H3-1,"")</f>
        <v>0.19695831768681926</v>
      </c>
      <c r="P3" s="12">
        <f t="shared" si="2"/>
        <v>0</v>
      </c>
      <c r="Q3" s="11">
        <f t="shared" si="3"/>
        <v>8182.1999999999971</v>
      </c>
      <c r="R3" s="12">
        <f t="shared" si="4"/>
        <v>0.19695831768681926</v>
      </c>
      <c r="S3" s="12">
        <f ca="1">IF(W3=TRUE,IFERROR(N3/SUMIFS($N$2:$N$501,$W$2:$W$501,TRUE),0),0)</f>
        <v>6.725578541772842E-2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216</v>
      </c>
      <c r="D4" s="6" t="s">
        <v>220</v>
      </c>
      <c r="E4" s="6" t="s">
        <v>220</v>
      </c>
      <c r="F4" s="6"/>
      <c r="G4" s="7">
        <v>6</v>
      </c>
      <c r="H4" s="8">
        <v>254.9</v>
      </c>
      <c r="I4" s="6" t="s">
        <v>48</v>
      </c>
      <c r="J4" s="9"/>
      <c r="K4" s="8">
        <v>253.95</v>
      </c>
      <c r="L4" s="13"/>
      <c r="M4" s="11"/>
      <c r="N4" s="11"/>
      <c r="O4" s="12">
        <f t="shared" si="5"/>
        <v>-3.7269517457827472E-3</v>
      </c>
      <c r="P4" s="12"/>
      <c r="Q4" s="11"/>
      <c r="R4" s="12"/>
      <c r="S4" s="12"/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45</v>
      </c>
      <c r="D5" s="6" t="s">
        <v>46</v>
      </c>
      <c r="E5" s="6" t="s">
        <v>47</v>
      </c>
      <c r="F5" s="6"/>
      <c r="G5" s="7">
        <v>4</v>
      </c>
      <c r="H5" s="8">
        <v>1199.3</v>
      </c>
      <c r="I5" s="6" t="s">
        <v>48</v>
      </c>
      <c r="J5" s="9"/>
      <c r="K5" s="8">
        <v>1497.8</v>
      </c>
      <c r="L5" s="13" t="str">
        <f ca="1">IF(I5="DKK",1,IFERROR(_xludf.XLOOKUP(I5,FX!$A$2:$A$20,FX!$B$2:$B$20,""),""))</f>
        <v/>
      </c>
      <c r="M5" s="11">
        <f t="shared" si="0"/>
        <v>0</v>
      </c>
      <c r="N5" s="11" t="str">
        <f t="shared" ca="1" si="1"/>
        <v/>
      </c>
      <c r="O5" s="12">
        <f t="shared" si="5"/>
        <v>0.24889518886016848</v>
      </c>
      <c r="P5" s="12" t="str">
        <f t="shared" ca="1" si="2"/>
        <v/>
      </c>
      <c r="Q5" s="11" t="str">
        <f t="shared" ca="1" si="3"/>
        <v/>
      </c>
      <c r="R5" s="12" t="str">
        <f t="shared" ca="1" si="4"/>
        <v/>
      </c>
      <c r="S5" s="12">
        <f t="shared" ref="S5:S18" ca="1" si="6">IF(W5=TRUE,IFERROR(N5/SUMIFS($N$2:$N$501,$W$2:$W$501,TRUE),0),0)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211</v>
      </c>
      <c r="D6" s="6" t="s">
        <v>210</v>
      </c>
      <c r="E6" s="6" t="s">
        <v>208</v>
      </c>
      <c r="F6" s="6"/>
      <c r="G6" s="7">
        <v>9</v>
      </c>
      <c r="H6" s="8">
        <v>292.97000000000003</v>
      </c>
      <c r="I6" s="6" t="s">
        <v>57</v>
      </c>
      <c r="J6" s="9"/>
      <c r="K6" s="8">
        <v>316.23</v>
      </c>
      <c r="L6" s="13"/>
      <c r="M6" s="11"/>
      <c r="N6" s="11"/>
      <c r="O6" s="12">
        <f t="shared" ref="O6" si="7">IFERROR(K6/H6-1,"")</f>
        <v>7.9393794586476441E-2</v>
      </c>
      <c r="P6" s="12" t="str">
        <f t="shared" ref="P6" si="8">IFERROR(L6/J6-1,"")</f>
        <v/>
      </c>
      <c r="Q6" s="11">
        <f t="shared" ref="Q6" si="9">IFERROR(N6-M6,"")</f>
        <v>0</v>
      </c>
      <c r="R6" s="12" t="str">
        <f t="shared" ref="R6" si="10">IFERROR(N6/M6-1,"")</f>
        <v/>
      </c>
      <c r="S6" s="12">
        <f t="shared" ca="1" si="6"/>
        <v>0</v>
      </c>
      <c r="T6" s="6" t="s">
        <v>49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51</v>
      </c>
      <c r="D7" s="6" t="s">
        <v>52</v>
      </c>
      <c r="E7" s="6" t="s">
        <v>53</v>
      </c>
      <c r="F7" s="6"/>
      <c r="G7" s="7">
        <v>95</v>
      </c>
      <c r="H7" s="8">
        <v>223.99</v>
      </c>
      <c r="I7" s="6" t="s">
        <v>42</v>
      </c>
      <c r="J7" s="9">
        <v>1</v>
      </c>
      <c r="K7" s="8">
        <v>377.4</v>
      </c>
      <c r="L7" s="13">
        <f>IF(I7="DKK",1,IFERROR(_xludf.XLOOKUP(I7,FX!$A$2:$A$20,FX!$B$2:$B$20,""),""))</f>
        <v>1</v>
      </c>
      <c r="M7" s="11">
        <f t="shared" si="0"/>
        <v>21279.05</v>
      </c>
      <c r="N7" s="11">
        <f t="shared" si="1"/>
        <v>35853</v>
      </c>
      <c r="O7" s="12">
        <f t="shared" si="5"/>
        <v>0.68489664717174858</v>
      </c>
      <c r="P7" s="12">
        <f t="shared" si="2"/>
        <v>0</v>
      </c>
      <c r="Q7" s="11">
        <f t="shared" si="3"/>
        <v>14573.95</v>
      </c>
      <c r="R7" s="12">
        <f t="shared" si="4"/>
        <v>0.68489664717174881</v>
      </c>
      <c r="S7" s="12">
        <f t="shared" ca="1" si="6"/>
        <v>4.8493145793500593E-2</v>
      </c>
      <c r="T7" s="6" t="s">
        <v>43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55</v>
      </c>
      <c r="D8" s="6" t="s">
        <v>56</v>
      </c>
      <c r="E8" s="6" t="s">
        <v>56</v>
      </c>
      <c r="F8" s="6"/>
      <c r="G8" s="7">
        <v>76</v>
      </c>
      <c r="H8" s="8">
        <v>47.25</v>
      </c>
      <c r="I8" s="6" t="s">
        <v>57</v>
      </c>
      <c r="J8" s="9"/>
      <c r="K8" s="8">
        <v>40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5"/>
        <v>-0.15343915343915349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6"/>
        <v>0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60</v>
      </c>
      <c r="D9" s="6" t="s">
        <v>61</v>
      </c>
      <c r="E9" s="6" t="s">
        <v>62</v>
      </c>
      <c r="F9" s="6"/>
      <c r="G9" s="7">
        <v>16</v>
      </c>
      <c r="H9" s="8">
        <v>394.77</v>
      </c>
      <c r="I9" s="6" t="s">
        <v>48</v>
      </c>
      <c r="J9" s="9"/>
      <c r="K9" s="8">
        <v>425</v>
      </c>
      <c r="L9" s="13" t="str">
        <f ca="1">IF(I9="DKK",1,IFERROR(_xludf.XLOOKUP(I9,FX!$A$2:$A$20,FX!$B$2:$B$20,""),""))</f>
        <v/>
      </c>
      <c r="M9" s="11">
        <f t="shared" si="0"/>
        <v>0</v>
      </c>
      <c r="N9" s="11" t="str">
        <f t="shared" ca="1" si="1"/>
        <v/>
      </c>
      <c r="O9" s="12">
        <f t="shared" si="5"/>
        <v>7.6576234262988541E-2</v>
      </c>
      <c r="P9" s="12" t="str">
        <f t="shared" ca="1" si="2"/>
        <v/>
      </c>
      <c r="Q9" s="11" t="str">
        <f t="shared" ca="1" si="3"/>
        <v/>
      </c>
      <c r="R9" s="12" t="str">
        <f t="shared" ca="1" si="4"/>
        <v/>
      </c>
      <c r="S9" s="12">
        <f t="shared" ca="1" si="6"/>
        <v>0</v>
      </c>
      <c r="T9" s="6" t="s">
        <v>49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64</v>
      </c>
      <c r="D10" s="6" t="s">
        <v>65</v>
      </c>
      <c r="E10" s="6" t="s">
        <v>65</v>
      </c>
      <c r="F10" s="6"/>
      <c r="G10" s="7">
        <v>63</v>
      </c>
      <c r="H10" s="8">
        <v>405.68</v>
      </c>
      <c r="I10" s="6" t="s">
        <v>42</v>
      </c>
      <c r="J10" s="9">
        <v>1</v>
      </c>
      <c r="K10" s="8">
        <v>910</v>
      </c>
      <c r="L10" s="13">
        <f>IF(I10="DKK",1,IFERROR(_xludf.XLOOKUP(I10,FX!$A$2:$A$20,FX!$B$2:$B$20,""),""))</f>
        <v>1</v>
      </c>
      <c r="M10" s="11">
        <f t="shared" si="0"/>
        <v>25557.84</v>
      </c>
      <c r="N10" s="11">
        <f t="shared" si="1"/>
        <v>57330</v>
      </c>
      <c r="O10" s="12">
        <f t="shared" si="5"/>
        <v>1.2431473082232301</v>
      </c>
      <c r="P10" s="12">
        <f t="shared" si="2"/>
        <v>0</v>
      </c>
      <c r="Q10" s="11">
        <f t="shared" si="3"/>
        <v>31772.16</v>
      </c>
      <c r="R10" s="12">
        <f t="shared" si="4"/>
        <v>1.2431473082232301</v>
      </c>
      <c r="S10" s="12">
        <f t="shared" ca="1" si="6"/>
        <v>7.7541964363969235E-2</v>
      </c>
      <c r="T10" s="6" t="s">
        <v>58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67</v>
      </c>
      <c r="D11" s="6" t="s">
        <v>68</v>
      </c>
      <c r="E11" s="6" t="s">
        <v>68</v>
      </c>
      <c r="F11" s="6"/>
      <c r="G11" s="7">
        <v>396</v>
      </c>
      <c r="H11" s="8">
        <v>433</v>
      </c>
      <c r="I11" s="6" t="s">
        <v>42</v>
      </c>
      <c r="J11" s="9">
        <v>1</v>
      </c>
      <c r="K11" s="8">
        <v>298</v>
      </c>
      <c r="L11" s="13">
        <f>IF(I11="DKK",1,IFERROR(_xludf.XLOOKUP(I11,FX!$A$2:$A$20,FX!$B$2:$B$20,""),""))</f>
        <v>1</v>
      </c>
      <c r="M11" s="11">
        <f t="shared" si="0"/>
        <v>171468</v>
      </c>
      <c r="N11" s="11">
        <f t="shared" si="1"/>
        <v>118008</v>
      </c>
      <c r="O11" s="12">
        <f t="shared" si="5"/>
        <v>-0.31177829099307164</v>
      </c>
      <c r="P11" s="12">
        <f t="shared" si="2"/>
        <v>0</v>
      </c>
      <c r="Q11" s="11">
        <f t="shared" si="3"/>
        <v>-53460</v>
      </c>
      <c r="R11" s="12">
        <f t="shared" si="4"/>
        <v>-0.31177829099307164</v>
      </c>
      <c r="S11" s="12">
        <f t="shared" ca="1" si="6"/>
        <v>0.15961228206285158</v>
      </c>
      <c r="T11" s="6" t="s">
        <v>69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71</v>
      </c>
      <c r="D12" s="6" t="s">
        <v>72</v>
      </c>
      <c r="E12" s="6" t="s">
        <v>73</v>
      </c>
      <c r="F12" s="6"/>
      <c r="G12" s="7">
        <v>33</v>
      </c>
      <c r="H12" s="8">
        <v>710.62</v>
      </c>
      <c r="I12" s="6" t="s">
        <v>42</v>
      </c>
      <c r="J12" s="9">
        <v>1</v>
      </c>
      <c r="K12" s="8">
        <v>846.8</v>
      </c>
      <c r="L12" s="13">
        <f>IF(I12="DKK",1,IFERROR(_xludf.XLOOKUP(I12,FX!$A$2:$A$20,FX!$B$2:$B$20,""),""))</f>
        <v>1</v>
      </c>
      <c r="M12" s="11">
        <f t="shared" si="0"/>
        <v>23450.46</v>
      </c>
      <c r="N12" s="11">
        <f t="shared" si="1"/>
        <v>27944.399999999998</v>
      </c>
      <c r="O12" s="12">
        <f t="shared" si="5"/>
        <v>0.19163547324871222</v>
      </c>
      <c r="P12" s="12">
        <f t="shared" si="2"/>
        <v>0</v>
      </c>
      <c r="Q12" s="11">
        <f t="shared" si="3"/>
        <v>4493.9399999999987</v>
      </c>
      <c r="R12" s="12">
        <f t="shared" si="4"/>
        <v>0.19163547324871244</v>
      </c>
      <c r="S12" s="12">
        <f t="shared" ca="1" si="6"/>
        <v>3.7796331222265854E-2</v>
      </c>
      <c r="T12" s="6" t="s">
        <v>74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85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21</v>
      </c>
      <c r="H13" s="8">
        <v>137.86000000000001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5"/>
        <v>0.14405919048309856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6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90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8</v>
      </c>
      <c r="H14" s="8">
        <v>408.97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5"/>
        <v>2.2079859158373516E-2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6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95</v>
      </c>
      <c r="B15" s="6" t="s">
        <v>29</v>
      </c>
      <c r="C15" s="14" t="s">
        <v>86</v>
      </c>
      <c r="D15" s="6" t="s">
        <v>87</v>
      </c>
      <c r="E15" s="6" t="s">
        <v>88</v>
      </c>
      <c r="F15" s="6"/>
      <c r="G15" s="7">
        <v>104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16196.960000000001</v>
      </c>
      <c r="N15" s="11">
        <f t="shared" si="1"/>
        <v>18361.2</v>
      </c>
      <c r="O15" s="12">
        <f t="shared" si="5"/>
        <v>0.13362013612430967</v>
      </c>
      <c r="P15" s="12">
        <f t="shared" si="2"/>
        <v>0</v>
      </c>
      <c r="Q15" s="11">
        <f t="shared" si="3"/>
        <v>2164.2399999999998</v>
      </c>
      <c r="R15" s="12">
        <f t="shared" si="4"/>
        <v>0.13362013612430967</v>
      </c>
      <c r="S15" s="12">
        <f t="shared" ca="1" si="6"/>
        <v>2.4834528450718853E-2</v>
      </c>
      <c r="T15" s="6" t="s">
        <v>89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98</v>
      </c>
      <c r="B16" s="6" t="s">
        <v>91</v>
      </c>
      <c r="C16" s="14" t="s">
        <v>92</v>
      </c>
      <c r="D16" s="6" t="s">
        <v>204</v>
      </c>
      <c r="E16" s="6" t="s">
        <v>204</v>
      </c>
      <c r="F16" s="6"/>
      <c r="G16" s="7">
        <v>12</v>
      </c>
      <c r="H16" s="8">
        <v>60.59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5"/>
        <v>-4.2746327776860937E-2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6"/>
        <v>0</v>
      </c>
      <c r="T16" s="6" t="s">
        <v>93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94</v>
      </c>
      <c r="AB16" s="14"/>
    </row>
    <row r="17" spans="1:28">
      <c r="A17" s="6" t="s">
        <v>101</v>
      </c>
      <c r="B17" s="6" t="s">
        <v>91</v>
      </c>
      <c r="C17" s="14" t="s">
        <v>96</v>
      </c>
      <c r="D17" s="6" t="s">
        <v>97</v>
      </c>
      <c r="E17" s="6" t="s">
        <v>97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5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6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104</v>
      </c>
      <c r="B18" s="6" t="s">
        <v>91</v>
      </c>
      <c r="C18" s="14" t="s">
        <v>99</v>
      </c>
      <c r="D18" s="6" t="s">
        <v>100</v>
      </c>
      <c r="E18" s="6" t="s">
        <v>100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6"/>
        <v>0</v>
      </c>
      <c r="T18" s="6" t="s">
        <v>89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107</v>
      </c>
      <c r="B19" s="6" t="s">
        <v>91</v>
      </c>
      <c r="C19" s="14" t="s">
        <v>199</v>
      </c>
      <c r="D19" s="6" t="s">
        <v>200</v>
      </c>
      <c r="E19" s="6" t="s">
        <v>201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5"/>
        <v>-1.4225106064387316E-2</v>
      </c>
      <c r="P19" s="12"/>
      <c r="Q19" s="11"/>
      <c r="R19" s="12"/>
      <c r="S19" s="12"/>
      <c r="T19" s="6" t="s">
        <v>133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108</v>
      </c>
      <c r="B20" s="6" t="s">
        <v>91</v>
      </c>
      <c r="C20" s="14" t="s">
        <v>102</v>
      </c>
      <c r="D20" s="6" t="s">
        <v>103</v>
      </c>
      <c r="E20" s="6" t="s">
        <v>103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5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0" ca="1" si="11">IF(W20=TRUE,IFERROR(N20/SUMIFS($N$2:$N$501,$W$2:$W$501,TRUE),0),0)</f>
        <v>0</v>
      </c>
      <c r="T20" s="6" t="s">
        <v>89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112</v>
      </c>
      <c r="B21" s="6" t="s">
        <v>91</v>
      </c>
      <c r="C21" s="14" t="s">
        <v>105</v>
      </c>
      <c r="D21" s="6" t="s">
        <v>106</v>
      </c>
      <c r="E21" s="6" t="s">
        <v>106</v>
      </c>
      <c r="F21" s="6"/>
      <c r="G21" s="7">
        <v>313</v>
      </c>
      <c r="H21" s="8">
        <v>10.427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5"/>
        <v>0.63038266040088242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116</v>
      </c>
      <c r="B22" s="6" t="s">
        <v>91</v>
      </c>
      <c r="C22" s="14" t="s">
        <v>109</v>
      </c>
      <c r="D22" s="6" t="s">
        <v>110</v>
      </c>
      <c r="E22" s="6" t="s">
        <v>110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5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111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119</v>
      </c>
      <c r="B23" s="6" t="s">
        <v>91</v>
      </c>
      <c r="C23" s="14" t="s">
        <v>113</v>
      </c>
      <c r="D23" s="6" t="s">
        <v>114</v>
      </c>
      <c r="E23" s="6" t="s">
        <v>114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5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115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122</v>
      </c>
      <c r="B24" s="6" t="s">
        <v>91</v>
      </c>
      <c r="C24" s="14" t="s">
        <v>117</v>
      </c>
      <c r="D24" s="6" t="s">
        <v>118</v>
      </c>
      <c r="E24" s="6" t="s">
        <v>118</v>
      </c>
      <c r="F24" s="6"/>
      <c r="G24" s="7">
        <v>30</v>
      </c>
      <c r="H24" s="8">
        <v>27.024999999999999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5"/>
        <v>-3.7927844588344084E-2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125</v>
      </c>
      <c r="B25" s="6" t="s">
        <v>91</v>
      </c>
      <c r="C25" s="14" t="s">
        <v>120</v>
      </c>
      <c r="D25" s="6" t="s">
        <v>121</v>
      </c>
      <c r="E25" s="6" t="s">
        <v>121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5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93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129</v>
      </c>
      <c r="B26" s="6" t="s">
        <v>91</v>
      </c>
      <c r="C26" s="14" t="s">
        <v>123</v>
      </c>
      <c r="D26" s="6" t="s">
        <v>124</v>
      </c>
      <c r="E26" s="6" t="s">
        <v>124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5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93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130</v>
      </c>
      <c r="B27" s="6" t="s">
        <v>91</v>
      </c>
      <c r="C27" s="14" t="s">
        <v>126</v>
      </c>
      <c r="D27" s="6" t="s">
        <v>127</v>
      </c>
      <c r="E27" s="6" t="s">
        <v>127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5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135</v>
      </c>
      <c r="B28" s="6" t="s">
        <v>91</v>
      </c>
      <c r="C28" s="14" t="s">
        <v>131</v>
      </c>
      <c r="D28" s="6" t="s">
        <v>132</v>
      </c>
      <c r="E28" s="6" t="s">
        <v>132</v>
      </c>
      <c r="F28" s="6"/>
      <c r="G28" s="7">
        <v>38</v>
      </c>
      <c r="H28" s="8">
        <v>166.35</v>
      </c>
      <c r="I28" s="6" t="s">
        <v>48</v>
      </c>
      <c r="J28" s="9"/>
      <c r="K28" s="8">
        <v>175.52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5"/>
        <v>5.5124737000300739E-2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133</v>
      </c>
      <c r="U28" s="6" t="s">
        <v>134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214</v>
      </c>
      <c r="B29" s="6" t="s">
        <v>91</v>
      </c>
      <c r="C29" s="14" t="s">
        <v>212</v>
      </c>
      <c r="D29" s="6" t="s">
        <v>213</v>
      </c>
      <c r="E29" s="6" t="s">
        <v>213</v>
      </c>
      <c r="F29" s="6"/>
      <c r="G29" s="7">
        <v>17</v>
      </c>
      <c r="H29" s="8">
        <v>80.75</v>
      </c>
      <c r="I29" s="6" t="s">
        <v>48</v>
      </c>
      <c r="J29" s="9"/>
      <c r="K29" s="8">
        <v>80.75</v>
      </c>
      <c r="L29" s="13"/>
      <c r="M29" s="11">
        <f t="shared" si="0"/>
        <v>0</v>
      </c>
      <c r="N29" s="11"/>
      <c r="O29" s="12">
        <f t="shared" si="5"/>
        <v>0</v>
      </c>
      <c r="P29" s="12"/>
      <c r="Q29" s="11"/>
      <c r="R29" s="12"/>
      <c r="S29" s="12">
        <f t="shared" ca="1" si="11"/>
        <v>0</v>
      </c>
      <c r="T29" s="6" t="s">
        <v>133</v>
      </c>
      <c r="U29" s="6" t="s">
        <v>134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215</v>
      </c>
      <c r="B30" s="6" t="s">
        <v>29</v>
      </c>
      <c r="C30" s="14" t="s">
        <v>136</v>
      </c>
      <c r="D30" s="6" t="s">
        <v>136</v>
      </c>
      <c r="E30" s="6" t="s">
        <v>136</v>
      </c>
      <c r="F30" s="6"/>
      <c r="G30" s="7">
        <f>260</f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5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t="shared" ca="1" si="11"/>
        <v>0.58446596268896533</v>
      </c>
      <c r="T30" s="6" t="s">
        <v>58</v>
      </c>
      <c r="U30" s="6" t="s">
        <v>137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A4" sqref="A4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27</v>
      </c>
    </row>
    <row r="2" spans="1:6">
      <c r="A2" t="s">
        <v>35</v>
      </c>
      <c r="B2" t="s">
        <v>142</v>
      </c>
      <c r="C2" t="s">
        <v>35</v>
      </c>
      <c r="D2" s="1" t="b">
        <v>1</v>
      </c>
      <c r="E2" s="1" t="b">
        <v>1</v>
      </c>
    </row>
    <row r="3" spans="1:6">
      <c r="A3" t="s">
        <v>134</v>
      </c>
      <c r="B3" t="s">
        <v>134</v>
      </c>
      <c r="C3" t="s">
        <v>134</v>
      </c>
      <c r="D3" s="1" t="b">
        <v>1</v>
      </c>
      <c r="E3" s="1" t="b">
        <v>1</v>
      </c>
    </row>
    <row r="4" spans="1:6">
      <c r="A4" t="s">
        <v>137</v>
      </c>
      <c r="B4" t="s">
        <v>143</v>
      </c>
      <c r="C4" t="s">
        <v>144</v>
      </c>
      <c r="D4" s="1" t="b">
        <v>1</v>
      </c>
      <c r="E4" s="1" t="b">
        <v>0</v>
      </c>
      <c r="F4" t="s">
        <v>145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146</v>
      </c>
      <c r="B1" s="2" t="s">
        <v>147</v>
      </c>
      <c r="C1" s="2" t="s">
        <v>148</v>
      </c>
      <c r="D1" s="2" t="s">
        <v>149</v>
      </c>
    </row>
    <row r="2" spans="1:4">
      <c r="A2" t="s">
        <v>150</v>
      </c>
      <c r="B2" t="s">
        <v>151</v>
      </c>
      <c r="D2" t="s">
        <v>152</v>
      </c>
    </row>
    <row r="3" spans="1:4">
      <c r="A3" t="s">
        <v>153</v>
      </c>
      <c r="B3" s="5">
        <v>0.02</v>
      </c>
      <c r="C3" t="s">
        <v>154</v>
      </c>
      <c r="D3" t="s">
        <v>155</v>
      </c>
    </row>
    <row r="4" spans="1:4">
      <c r="A4" t="s">
        <v>156</v>
      </c>
      <c r="B4" s="5">
        <v>0.14000000000000001</v>
      </c>
      <c r="C4" t="s">
        <v>154</v>
      </c>
      <c r="D4" t="s">
        <v>157</v>
      </c>
    </row>
    <row r="5" spans="1:4">
      <c r="A5" t="s">
        <v>158</v>
      </c>
      <c r="B5" s="5">
        <v>0.25</v>
      </c>
      <c r="C5" t="s">
        <v>154</v>
      </c>
      <c r="D5" t="s">
        <v>159</v>
      </c>
    </row>
    <row r="6" spans="1:4">
      <c r="A6" t="s">
        <v>160</v>
      </c>
      <c r="B6" s="5">
        <v>0.25</v>
      </c>
      <c r="C6" t="s">
        <v>154</v>
      </c>
      <c r="D6" t="s">
        <v>159</v>
      </c>
    </row>
    <row r="7" spans="1:4">
      <c r="A7" t="s">
        <v>161</v>
      </c>
      <c r="B7" s="5">
        <v>0.2</v>
      </c>
      <c r="C7" t="s">
        <v>154</v>
      </c>
      <c r="D7" t="s">
        <v>159</v>
      </c>
    </row>
    <row r="8" spans="1:4">
      <c r="A8" t="s">
        <v>162</v>
      </c>
      <c r="B8" s="5">
        <v>0.2</v>
      </c>
      <c r="C8" t="s">
        <v>154</v>
      </c>
      <c r="D8" t="s">
        <v>159</v>
      </c>
    </row>
    <row r="9" spans="1:4">
      <c r="A9" t="s">
        <v>163</v>
      </c>
      <c r="B9" s="5">
        <v>0.1</v>
      </c>
      <c r="C9" t="s">
        <v>154</v>
      </c>
      <c r="D9" t="s">
        <v>159</v>
      </c>
    </row>
    <row r="10" spans="1:4">
      <c r="A10" t="s">
        <v>164</v>
      </c>
      <c r="B10" t="s">
        <v>165</v>
      </c>
      <c r="D10" t="s">
        <v>166</v>
      </c>
    </row>
    <row r="11" spans="1:4">
      <c r="A11" t="s">
        <v>167</v>
      </c>
      <c r="B11">
        <v>5</v>
      </c>
      <c r="C11" t="s">
        <v>168</v>
      </c>
      <c r="D11" t="s">
        <v>169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170</v>
      </c>
      <c r="D1" s="2" t="s">
        <v>171</v>
      </c>
      <c r="E1" s="2" t="s">
        <v>172</v>
      </c>
      <c r="F1" s="2" t="s">
        <v>173</v>
      </c>
      <c r="G1" s="2" t="s">
        <v>174</v>
      </c>
    </row>
    <row r="2" spans="1:7">
      <c r="A2" t="s">
        <v>42</v>
      </c>
      <c r="B2" s="3">
        <v>1</v>
      </c>
      <c r="D2" t="s">
        <v>175</v>
      </c>
      <c r="E2">
        <v>1</v>
      </c>
      <c r="F2" s="1" t="b">
        <v>0</v>
      </c>
      <c r="G2" t="s">
        <v>176</v>
      </c>
    </row>
    <row r="3" spans="1:7">
      <c r="A3" t="s">
        <v>48</v>
      </c>
      <c r="B3" s="3"/>
      <c r="D3" t="s">
        <v>177</v>
      </c>
      <c r="F3" s="1" t="b">
        <v>0</v>
      </c>
      <c r="G3" t="s">
        <v>178</v>
      </c>
    </row>
    <row r="4" spans="1:7">
      <c r="A4" t="s">
        <v>57</v>
      </c>
      <c r="B4" s="3"/>
      <c r="D4" t="s">
        <v>177</v>
      </c>
      <c r="F4" s="1" t="b">
        <v>0</v>
      </c>
      <c r="G4" t="s">
        <v>178</v>
      </c>
    </row>
    <row r="5" spans="1:7">
      <c r="A5" t="s">
        <v>33</v>
      </c>
      <c r="B5" s="3"/>
      <c r="D5" t="s">
        <v>177</v>
      </c>
      <c r="F5" s="1" t="b">
        <v>0</v>
      </c>
      <c r="G5" t="s">
        <v>178</v>
      </c>
    </row>
    <row r="6" spans="1:7">
      <c r="A6" t="s">
        <v>179</v>
      </c>
      <c r="B6" s="3"/>
      <c r="D6" t="s">
        <v>177</v>
      </c>
      <c r="F6" s="1" t="b">
        <v>0</v>
      </c>
      <c r="G6" t="s">
        <v>178</v>
      </c>
    </row>
    <row r="7" spans="1:7">
      <c r="A7" t="s">
        <v>180</v>
      </c>
      <c r="B7" s="3"/>
      <c r="D7" t="s">
        <v>177</v>
      </c>
      <c r="F7" s="1" t="b">
        <v>0</v>
      </c>
      <c r="G7" t="s">
        <v>178</v>
      </c>
    </row>
    <row r="8" spans="1:7">
      <c r="A8" t="s">
        <v>181</v>
      </c>
      <c r="B8" s="3"/>
      <c r="D8" t="s">
        <v>177</v>
      </c>
      <c r="F8" s="1" t="b">
        <v>0</v>
      </c>
      <c r="G8" t="s">
        <v>178</v>
      </c>
    </row>
    <row r="9" spans="1:7">
      <c r="A9" t="s">
        <v>182</v>
      </c>
      <c r="B9" s="3"/>
      <c r="D9" t="s">
        <v>177</v>
      </c>
      <c r="F9" s="1" t="b">
        <v>0</v>
      </c>
      <c r="G9" t="s">
        <v>178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D5" sqref="D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183</v>
      </c>
      <c r="D1" s="2" t="s">
        <v>8</v>
      </c>
      <c r="E1" s="2" t="s">
        <v>184</v>
      </c>
      <c r="F1" s="2" t="s">
        <v>185</v>
      </c>
    </row>
    <row r="2" spans="1:6">
      <c r="A2" t="s">
        <v>31</v>
      </c>
      <c r="B2" t="s">
        <v>32</v>
      </c>
      <c r="C2" t="s">
        <v>186</v>
      </c>
      <c r="D2" t="s">
        <v>33</v>
      </c>
      <c r="E2" t="s">
        <v>187</v>
      </c>
      <c r="F2" t="s">
        <v>176</v>
      </c>
    </row>
    <row r="3" spans="1:6">
      <c r="A3" t="s">
        <v>40</v>
      </c>
      <c r="B3" t="s">
        <v>41</v>
      </c>
      <c r="C3" t="s">
        <v>188</v>
      </c>
      <c r="D3" t="s">
        <v>42</v>
      </c>
      <c r="E3" t="s">
        <v>187</v>
      </c>
      <c r="F3" t="s">
        <v>176</v>
      </c>
    </row>
    <row r="4" spans="1:6">
      <c r="A4" t="s">
        <v>46</v>
      </c>
      <c r="B4" t="s">
        <v>47</v>
      </c>
      <c r="C4" t="s">
        <v>189</v>
      </c>
      <c r="D4" t="s">
        <v>48</v>
      </c>
      <c r="E4" t="s">
        <v>187</v>
      </c>
      <c r="F4" t="s">
        <v>176</v>
      </c>
    </row>
    <row r="5" spans="1:6">
      <c r="A5" t="s">
        <v>217</v>
      </c>
      <c r="B5" t="s">
        <v>218</v>
      </c>
      <c r="C5" t="s">
        <v>219</v>
      </c>
      <c r="D5" t="s">
        <v>48</v>
      </c>
      <c r="E5" t="s">
        <v>187</v>
      </c>
      <c r="F5" t="s">
        <v>176</v>
      </c>
    </row>
    <row r="6" spans="1:6">
      <c r="A6" t="s">
        <v>210</v>
      </c>
      <c r="B6" t="s">
        <v>208</v>
      </c>
      <c r="C6" t="s">
        <v>191</v>
      </c>
      <c r="D6" t="s">
        <v>57</v>
      </c>
      <c r="E6" t="s">
        <v>187</v>
      </c>
      <c r="F6" t="s">
        <v>176</v>
      </c>
    </row>
    <row r="7" spans="1:6">
      <c r="A7" t="s">
        <v>52</v>
      </c>
      <c r="B7" t="s">
        <v>53</v>
      </c>
      <c r="C7" t="s">
        <v>188</v>
      </c>
      <c r="D7" t="s">
        <v>42</v>
      </c>
      <c r="E7" t="s">
        <v>187</v>
      </c>
      <c r="F7" t="s">
        <v>176</v>
      </c>
    </row>
    <row r="8" spans="1:6">
      <c r="A8" t="s">
        <v>56</v>
      </c>
      <c r="B8" t="s">
        <v>56</v>
      </c>
      <c r="D8" t="s">
        <v>57</v>
      </c>
      <c r="E8" t="s">
        <v>187</v>
      </c>
      <c r="F8" t="s">
        <v>176</v>
      </c>
    </row>
    <row r="9" spans="1:6">
      <c r="A9" t="s">
        <v>61</v>
      </c>
      <c r="B9" t="s">
        <v>62</v>
      </c>
      <c r="C9" t="s">
        <v>190</v>
      </c>
      <c r="D9" t="s">
        <v>48</v>
      </c>
      <c r="E9" t="s">
        <v>187</v>
      </c>
      <c r="F9" t="s">
        <v>176</v>
      </c>
    </row>
    <row r="10" spans="1:6">
      <c r="A10" t="s">
        <v>65</v>
      </c>
      <c r="B10" t="s">
        <v>65</v>
      </c>
      <c r="D10" t="s">
        <v>42</v>
      </c>
      <c r="E10" t="s">
        <v>187</v>
      </c>
      <c r="F10" t="s">
        <v>176</v>
      </c>
    </row>
    <row r="11" spans="1:6">
      <c r="A11" t="s">
        <v>68</v>
      </c>
      <c r="B11" t="s">
        <v>68</v>
      </c>
      <c r="D11" t="s">
        <v>42</v>
      </c>
      <c r="E11" t="s">
        <v>187</v>
      </c>
      <c r="F11" t="s">
        <v>176</v>
      </c>
    </row>
    <row r="12" spans="1:6">
      <c r="A12" t="s">
        <v>72</v>
      </c>
      <c r="B12" t="s">
        <v>73</v>
      </c>
      <c r="C12" t="s">
        <v>188</v>
      </c>
      <c r="D12" t="s">
        <v>42</v>
      </c>
      <c r="E12" t="s">
        <v>187</v>
      </c>
      <c r="F12" t="s">
        <v>176</v>
      </c>
    </row>
    <row r="13" spans="1:6">
      <c r="A13" t="s">
        <v>203</v>
      </c>
      <c r="B13" t="s">
        <v>202</v>
      </c>
      <c r="C13" t="s">
        <v>190</v>
      </c>
      <c r="D13" t="s">
        <v>48</v>
      </c>
      <c r="E13" t="s">
        <v>187</v>
      </c>
      <c r="F13" t="s">
        <v>176</v>
      </c>
    </row>
    <row r="14" spans="1:6">
      <c r="A14" t="s">
        <v>77</v>
      </c>
      <c r="B14" t="s">
        <v>78</v>
      </c>
      <c r="C14" t="s">
        <v>190</v>
      </c>
      <c r="D14" t="s">
        <v>48</v>
      </c>
      <c r="E14" t="s">
        <v>187</v>
      </c>
      <c r="F14" t="s">
        <v>176</v>
      </c>
    </row>
    <row r="15" spans="1:6">
      <c r="A15" t="s">
        <v>81</v>
      </c>
      <c r="B15" t="s">
        <v>82</v>
      </c>
      <c r="C15" t="s">
        <v>191</v>
      </c>
      <c r="D15" t="s">
        <v>57</v>
      </c>
      <c r="E15" t="s">
        <v>187</v>
      </c>
      <c r="F15" t="s">
        <v>176</v>
      </c>
    </row>
    <row r="16" spans="1:6">
      <c r="A16" t="s">
        <v>83</v>
      </c>
      <c r="B16" t="s">
        <v>84</v>
      </c>
      <c r="C16" t="s">
        <v>190</v>
      </c>
      <c r="D16" t="s">
        <v>48</v>
      </c>
      <c r="E16" t="s">
        <v>187</v>
      </c>
      <c r="F16" t="s">
        <v>176</v>
      </c>
    </row>
    <row r="17" spans="1:6">
      <c r="A17" t="s">
        <v>87</v>
      </c>
      <c r="B17" t="s">
        <v>88</v>
      </c>
      <c r="C17" t="s">
        <v>188</v>
      </c>
      <c r="D17" t="s">
        <v>42</v>
      </c>
      <c r="E17" t="s">
        <v>187</v>
      </c>
      <c r="F17" t="s">
        <v>176</v>
      </c>
    </row>
    <row r="18" spans="1:6">
      <c r="A18" t="s">
        <v>204</v>
      </c>
      <c r="B18" t="s">
        <v>204</v>
      </c>
      <c r="C18" t="s">
        <v>190</v>
      </c>
      <c r="D18" t="s">
        <v>48</v>
      </c>
      <c r="E18" t="s">
        <v>187</v>
      </c>
      <c r="F18" t="s">
        <v>176</v>
      </c>
    </row>
    <row r="19" spans="1:6">
      <c r="A19" t="s">
        <v>97</v>
      </c>
      <c r="B19" t="s">
        <v>97</v>
      </c>
      <c r="D19" t="s">
        <v>48</v>
      </c>
      <c r="E19" t="s">
        <v>187</v>
      </c>
      <c r="F19" t="s">
        <v>176</v>
      </c>
    </row>
    <row r="20" spans="1:6">
      <c r="A20" t="s">
        <v>200</v>
      </c>
      <c r="B20" t="s">
        <v>201</v>
      </c>
      <c r="D20" t="s">
        <v>48</v>
      </c>
      <c r="E20" t="s">
        <v>187</v>
      </c>
      <c r="F20" t="s">
        <v>176</v>
      </c>
    </row>
    <row r="21" spans="1:6">
      <c r="A21" t="s">
        <v>103</v>
      </c>
      <c r="B21" t="s">
        <v>103</v>
      </c>
      <c r="D21" t="s">
        <v>48</v>
      </c>
      <c r="E21" t="s">
        <v>187</v>
      </c>
      <c r="F21" t="s">
        <v>176</v>
      </c>
    </row>
    <row r="22" spans="1:6">
      <c r="A22" t="s">
        <v>100</v>
      </c>
      <c r="B22" t="s">
        <v>100</v>
      </c>
      <c r="D22" t="s">
        <v>48</v>
      </c>
      <c r="E22" t="s">
        <v>187</v>
      </c>
      <c r="F22" t="s">
        <v>176</v>
      </c>
    </row>
    <row r="23" spans="1:6">
      <c r="A23" t="s">
        <v>106</v>
      </c>
      <c r="B23" t="s">
        <v>106</v>
      </c>
      <c r="D23" t="s">
        <v>48</v>
      </c>
      <c r="E23" t="s">
        <v>187</v>
      </c>
      <c r="F23" t="s">
        <v>176</v>
      </c>
    </row>
    <row r="24" spans="1:6">
      <c r="A24" t="s">
        <v>110</v>
      </c>
      <c r="B24" t="s">
        <v>110</v>
      </c>
      <c r="D24" t="s">
        <v>48</v>
      </c>
      <c r="E24" t="s">
        <v>187</v>
      </c>
      <c r="F24" t="s">
        <v>176</v>
      </c>
    </row>
    <row r="25" spans="1:6">
      <c r="A25" t="s">
        <v>114</v>
      </c>
      <c r="B25" t="s">
        <v>114</v>
      </c>
      <c r="D25" t="s">
        <v>48</v>
      </c>
      <c r="E25" t="s">
        <v>187</v>
      </c>
      <c r="F25" t="s">
        <v>176</v>
      </c>
    </row>
    <row r="26" spans="1:6">
      <c r="A26" t="s">
        <v>118</v>
      </c>
      <c r="B26" t="s">
        <v>118</v>
      </c>
      <c r="D26" t="s">
        <v>48</v>
      </c>
      <c r="E26" t="s">
        <v>187</v>
      </c>
      <c r="F26" t="s">
        <v>176</v>
      </c>
    </row>
    <row r="27" spans="1:6">
      <c r="A27" t="s">
        <v>121</v>
      </c>
      <c r="B27" t="s">
        <v>121</v>
      </c>
      <c r="D27" t="s">
        <v>48</v>
      </c>
      <c r="E27" t="s">
        <v>187</v>
      </c>
      <c r="F27" t="s">
        <v>176</v>
      </c>
    </row>
    <row r="28" spans="1:6">
      <c r="A28" t="s">
        <v>124</v>
      </c>
      <c r="B28" t="s">
        <v>124</v>
      </c>
      <c r="D28" t="s">
        <v>48</v>
      </c>
      <c r="E28" t="s">
        <v>187</v>
      </c>
      <c r="F28" t="s">
        <v>176</v>
      </c>
    </row>
    <row r="29" spans="1:6">
      <c r="A29" t="s">
        <v>127</v>
      </c>
      <c r="B29" t="s">
        <v>127</v>
      </c>
      <c r="D29" t="s">
        <v>48</v>
      </c>
      <c r="E29" t="s">
        <v>187</v>
      </c>
      <c r="F29" t="s">
        <v>176</v>
      </c>
    </row>
    <row r="30" spans="1:6">
      <c r="A30" t="s">
        <v>132</v>
      </c>
      <c r="B30" t="s">
        <v>132</v>
      </c>
      <c r="D30" t="s">
        <v>48</v>
      </c>
      <c r="E30" t="s">
        <v>187</v>
      </c>
      <c r="F30" t="s">
        <v>176</v>
      </c>
    </row>
    <row r="31" spans="1:6">
      <c r="A31" t="s">
        <v>213</v>
      </c>
      <c r="B31" t="s">
        <v>213</v>
      </c>
      <c r="D31" t="s">
        <v>48</v>
      </c>
      <c r="E31" t="s">
        <v>187</v>
      </c>
      <c r="F31" t="s">
        <v>176</v>
      </c>
    </row>
    <row r="32" spans="1:6">
      <c r="A32" t="s">
        <v>136</v>
      </c>
      <c r="B32" t="s">
        <v>136</v>
      </c>
      <c r="D32" t="s">
        <v>42</v>
      </c>
      <c r="E32" t="s">
        <v>187</v>
      </c>
      <c r="F32" t="s">
        <v>176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F15" sqref="F15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192</v>
      </c>
      <c r="G1" s="2" t="s">
        <v>193</v>
      </c>
      <c r="H1" s="2" t="s">
        <v>194</v>
      </c>
      <c r="I1" s="2" t="s">
        <v>195</v>
      </c>
      <c r="J1" s="2" t="s">
        <v>27</v>
      </c>
    </row>
    <row r="2" spans="1:10">
      <c r="A2" t="s">
        <v>205</v>
      </c>
      <c r="B2" t="s">
        <v>206</v>
      </c>
      <c r="C2" t="s">
        <v>207</v>
      </c>
      <c r="D2" t="s">
        <v>48</v>
      </c>
      <c r="E2" t="s">
        <v>49</v>
      </c>
      <c r="I2">
        <v>94</v>
      </c>
      <c r="J2" t="s">
        <v>209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196</v>
      </c>
      <c r="D1" s="2" t="s">
        <v>197</v>
      </c>
      <c r="E1" s="2" t="s">
        <v>198</v>
      </c>
      <c r="F1" s="2" t="s">
        <v>140</v>
      </c>
      <c r="G1" s="2" t="s">
        <v>141</v>
      </c>
    </row>
    <row r="2" spans="1:7">
      <c r="A2" t="s">
        <v>35</v>
      </c>
      <c r="B2" t="s">
        <v>42</v>
      </c>
      <c r="C2" s="4">
        <v>121657</v>
      </c>
      <c r="D2" s="4">
        <v>1</v>
      </c>
      <c r="E2" s="4">
        <f>C2*D2</f>
        <v>121657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2026-10-30T12:14:11Z</dcterms:modified>
</cp:coreProperties>
</file>