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2CFAC2DD-FCD6-41BC-BE6F-DFE3B616836C}" xr6:coauthVersionLast="47" xr6:coauthVersionMax="47" xr10:uidLastSave="{00000000-0000-0000-0000-000000000000}"/>
  <bookViews>
    <workbookView xWindow="28680" yWindow="75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1" l="1"/>
  <c r="O31" i="1"/>
  <c r="G32" i="1"/>
  <c r="R5" i="1" l="1"/>
  <c r="Q5" i="1"/>
  <c r="P5" i="1"/>
  <c r="O5" i="1"/>
  <c r="O12" i="1"/>
  <c r="P12" i="1"/>
  <c r="Q12" i="1"/>
  <c r="R12" i="1"/>
  <c r="M15" i="1"/>
  <c r="O19" i="1"/>
  <c r="O2" i="1"/>
  <c r="E2" i="7"/>
  <c r="O32" i="1"/>
  <c r="M32" i="1"/>
  <c r="L32" i="1"/>
  <c r="P32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2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S31" i="1" l="1"/>
  <c r="Q3" i="1"/>
  <c r="Q11" i="1"/>
  <c r="S5" i="1"/>
  <c r="Q10" i="1"/>
  <c r="R2" i="1"/>
  <c r="S12" i="1"/>
  <c r="S16" i="1"/>
  <c r="S9" i="1"/>
  <c r="Q20" i="1"/>
  <c r="Q2" i="1"/>
  <c r="S32" i="1"/>
  <c r="Q17" i="1"/>
  <c r="S15" i="1"/>
  <c r="S3" i="1"/>
  <c r="R32" i="1"/>
  <c r="Q32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<sst xmlns="http://schemas.openxmlformats.org/spreadsheetml/2006/main" count="624" uniqueCount="222">
  <si>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</si>
  <si>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</si>
  <si>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</si>
  <si>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</si>
  <si>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</si>
  <si>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</si>
  <si>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</si>
  <si>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</si>
  <si>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</si>
  <si>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</si>
  <si>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</si>
  <si>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</si>
  <si>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</si>
  <si>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</si>
  <si>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</si>
  <si>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</si>
  <si>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</si>
  <si>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</si>
  <si>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</si>
  <si>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</si>
  <si>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</si>
  <si>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</si>
  <si>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</si>
  <si>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</si>
  <si>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</si>
  <si>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</si>
  <si>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</si>
  <si>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</si>
  <si>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</si>
  <si>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</si>
  <si>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</si>
  <si>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</si>
  <si>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</si>
  <si>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</si>
  <si>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</si>
  <si>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</si>
  <si>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</si>
  <si>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</si>
  <si>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</si>
  <si>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</si>
  <si>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</si>
  <si>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</si>
  <si>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</si>
  <si>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</si>
  <si>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</si>
  <si>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</si>
  <si>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</si>
  <si>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</si>
  <si>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</si>
  <si>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</si>
  <si>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</si>
  <si>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</si>
  <si>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</si>
  <si>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</si>
  <si>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</si>
  <si>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</si>
  <si>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</si>
  <si>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</si>
  <si>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</si>
  <si>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</si>
  <si>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</si>
  <si>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</si>
  <si>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</si>
  <si>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</si>
  <si>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</si>
  <si>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</si>
  <si>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</si>
  <si>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</si>
  <si>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</si>
  <si>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</si>
  <si>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</si>
  <si>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</si>
  <si>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</si>
  <si>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</si>
  <si>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</si>
  <si>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</si>
  <si>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</si>
  <si>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</si>
  <si>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</si>
  <si>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</si>
  <si>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</si>
  <si>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</si>
  <si>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</si>
  <si>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</si>
  <si>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</si>
  <si>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</si>
  <si>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</si>
  <si>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</si>
  <si>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</si>
  <si>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</si>
  <si>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</si>
  <si>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</si>
  <si>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</si>
  <si>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</si>
  <si>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</si>
  <si>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</si>
  <si>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</si>
  <si>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</si>
  <si>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</si>
  <si>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</si>
  <si>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</si>
  <si>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</si>
  <si>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</si>
  <si>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</si>
  <si>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</si>
  <si>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</si>
  <si>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</si>
  <si>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</si>
  <si>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</si>
  <si>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</si>
  <si>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</si>
  <si>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</si>
  <si>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</si>
  <si>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</si>
  <si>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</si>
  <si>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</si>
  <si>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</si>
  <si>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</si>
  <si>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</si>
  <si>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</si>
  <si>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</si>
  <si>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</si>
  <si>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</si>
  <si>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</si>
  <si>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</si>
  <si>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</si>
  <si>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</si>
  <si>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</si>
  <si>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</si>
  <si>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</si>
  <si>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</si>
  <si>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</si>
  <si>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</si>
  <si>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</si>
  <si>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</si>
  <si>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</si>
  <si>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</si>
  <si>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</si>
  <si>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</si>
  <si>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</si>
  <si>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</si>
  <si>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</si>
  <si>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</si>
  <si>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</si>
  <si>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</si>
  <si>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</si>
  <si>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</si>
  <si>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</si>
  <si>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</si>
  <si>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</si>
  <si>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</si>
  <si>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</si>
  <si>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</si>
  <si>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</si>
  <si>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</si>
  <si>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</si>
  <si>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</si>
  <si>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</si>
  <si>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</si>
  <si>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</si>
  <si>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</si>
  <si>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</si>
  <si>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</si>
  <si>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</si>
  <si>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</si>
  <si>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</si>
  <si>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</si>
  <si>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</si>
  <si>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</si>
  <si>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</si>
  <si>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</si>
  <si>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</si>
  <si>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</si>
  <si>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</si>
  <si>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</si>
  <si>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</si>
  <si>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</si>
  <si>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</si>
  <si>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</si>
  <si>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</si>
  <si>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</si>
  <si>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</si>
  <si>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</si>
  <si>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</si>
  <si>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</si>
  <si>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</si>
  <si>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</si>
  <si>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</si>
  <si>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</si>
  <si>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</si>
  <si>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</si>
  <si>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</si>
  <si>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</si>
  <si>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</si>
  <si>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</si>
  <si>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</si>
  <si>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</si>
  <si>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</si>
  <si>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</si>
  <si>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</si>
  <si>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</si>
  <si>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</si>
  <si>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</si>
  <si>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</si>
  <si>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</si>
  <si>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</si>
  <si>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</si>
  <si>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</si>
  <si>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</si>
  <si>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</si>
  <si>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</si>
  <si>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</si>
  <si>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</si>
  <si>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</si>
  <si>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</si>
  <si>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</si>
  <si>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</si>
  <si>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</si>
  <si>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</si>
  <si>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A030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</si>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</sst>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2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3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2"/>
  <sheetViews>
    <sheetView zoomScale="80" zoomScaleNormal="80" workbookViewId="0">
      <selection activeCell="M43" sqref="M43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2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2" ca="1" si="2">IFERROR(L2/J2-1,"")</f>
        <v/>
      </c>
      <c r="Q2" s="11" t="str">
        <f t="shared" ref="Q2:Q32" ca="1" si="3">IFERROR(N2-M2,"")</f>
        <v/>
      </c>
      <c r="R2" s="12" t="str">
        <f t="shared" ref="R2:R32" ca="1" si="4">IFERROR(N2/M2-1,"")</f>
        <v/>
      </c>
      <c r="S2" s="12">
        <f t="shared" ref="S2:S18" ca="1" si="5">IF(W2=TRUE,IFERROR(N2/SUMIFS($N$2:$N$503,$W$2:$W$503,TRUE),0),0)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2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5.6961239342541645E-2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IF(W5=TRUE,IFERROR(N5/SUMIFS($N$2:$N$503,$W$2:$W$503,TRUE),0),0)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6.586143298981377E-2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8.0038917929115508E-2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0.13978958266887279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2.1280048886146E-2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3.2782240323238281E-2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35</v>
      </c>
      <c r="H19" s="8">
        <v>79.650000000000006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-8.1607030759573984E-3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2" ca="1" si="12">IF(W20=TRUE,IFERROR(N20/SUMIFS($N$2:$N$503,$W$2:$W$503,TRUE),0),0)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56.9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-1.5817223198594021E-2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16.59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-0.27667269439421338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16</v>
      </c>
      <c r="H27" s="8">
        <v>58.1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-7.056798623063687E-2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95.08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-0.2111905763567522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38</v>
      </c>
      <c r="H30" s="8">
        <v>166.35</v>
      </c>
      <c r="I30" s="6" t="s">
        <v>48</v>
      </c>
      <c r="J30" s="9"/>
      <c r="K30" s="8">
        <v>175.52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5.5124737000300739E-2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92</v>
      </c>
      <c r="C31" s="14" t="s">
        <v>220</v>
      </c>
      <c r="D31" s="6" t="s">
        <v>221</v>
      </c>
      <c r="E31" s="6" t="s">
        <v>221</v>
      </c>
      <c r="F31" s="6"/>
      <c r="G31" s="7">
        <v>17</v>
      </c>
      <c r="H31" s="8">
        <v>80.75</v>
      </c>
      <c r="I31" s="6" t="s">
        <v>48</v>
      </c>
      <c r="J31" s="9"/>
      <c r="K31" s="8">
        <v>80.75</v>
      </c>
      <c r="L31" s="13"/>
      <c r="M31" s="11">
        <f t="shared" si="0"/>
        <v>0</v>
      </c>
      <c r="N31" s="11"/>
      <c r="O31" s="12">
        <f t="shared" si="6"/>
        <v>0</v>
      </c>
      <c r="P31" s="12"/>
      <c r="Q31" s="11"/>
      <c r="R31" s="12"/>
      <c r="S31" s="12">
        <f t="shared" ca="1" si="12"/>
        <v>0</v>
      </c>
      <c r="T31" s="6" t="s">
        <v>43</v>
      </c>
      <c r="U31" s="6" t="s">
        <v>139</v>
      </c>
      <c r="V31" s="10" t="b">
        <v>1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  <row r="32" spans="1:28">
      <c r="A32" s="6" t="s">
        <v>219</v>
      </c>
      <c r="B32" s="6" t="s">
        <v>29</v>
      </c>
      <c r="C32" s="14" t="s">
        <v>141</v>
      </c>
      <c r="D32" s="6" t="s">
        <v>141</v>
      </c>
      <c r="E32" s="6" t="s">
        <v>141</v>
      </c>
      <c r="F32" s="6"/>
      <c r="G32" s="7">
        <f>260</f>
        <v>260</v>
      </c>
      <c r="H32" s="8">
        <v>637</v>
      </c>
      <c r="I32" s="6" t="s">
        <v>42</v>
      </c>
      <c r="J32" s="9">
        <v>1</v>
      </c>
      <c r="K32" s="8">
        <v>1662</v>
      </c>
      <c r="L32" s="13">
        <f>IF(I32="DKK",1,IFERROR(_xludf.XLOOKUP(I32,FX!$A$2:$A$20,FX!$B$2:$B$20,""),""))</f>
        <v>1</v>
      </c>
      <c r="M32" s="11">
        <f t="shared" si="0"/>
        <v>165620</v>
      </c>
      <c r="N32" s="11">
        <f>IFERROR(G32*K32*L32,"")</f>
        <v>432120</v>
      </c>
      <c r="O32" s="12">
        <f t="shared" si="6"/>
        <v>1.609105180533752</v>
      </c>
      <c r="P32" s="12">
        <f t="shared" si="2"/>
        <v>0</v>
      </c>
      <c r="Q32" s="11">
        <f t="shared" si="3"/>
        <v>266500</v>
      </c>
      <c r="R32" s="12">
        <f t="shared" si="4"/>
        <v>1.609105180533752</v>
      </c>
      <c r="S32" s="12">
        <f t="shared" ca="1" si="12"/>
        <v>0.60328653786027198</v>
      </c>
      <c r="T32" s="6" t="s">
        <v>58</v>
      </c>
      <c r="U32" s="6" t="s">
        <v>142</v>
      </c>
      <c r="V32" s="10" t="b">
        <v>0</v>
      </c>
      <c r="W32" s="10" t="b">
        <v>1</v>
      </c>
      <c r="X32" s="6" t="s">
        <v>36</v>
      </c>
      <c r="Y32" s="6" t="s">
        <v>37</v>
      </c>
      <c r="Z32" s="6"/>
      <c r="AA32" s="14"/>
      <c r="AB32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2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3"/>
  <sheetViews>
    <sheetView workbookViewId="0">
      <selection activeCell="D32" sqref="D32:F32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221</v>
      </c>
      <c r="B32" t="s">
        <v>221</v>
      </c>
      <c r="D32" t="s">
        <v>48</v>
      </c>
      <c r="E32" t="s">
        <v>192</v>
      </c>
      <c r="F32" t="s">
        <v>181</v>
      </c>
    </row>
    <row r="33" spans="1:6">
      <c r="A33" t="s">
        <v>141</v>
      </c>
      <c r="B33" t="s">
        <v>141</v>
      </c>
      <c r="D33" t="s">
        <v>42</v>
      </c>
      <c r="E33" t="s">
        <v>192</v>
      </c>
      <c r="F33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66709</v>
      </c>
      <c r="D2" s="4">
        <v>1</v>
      </c>
      <c r="E2" s="4">
        <f>C2*D2</f>
        <v>66709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2026-10-09T10:50:45Z</dcterms:modified>
</cp:coreProperties>
</file>