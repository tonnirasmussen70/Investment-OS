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7FA628DA-A48F-42D5-9B8F-D67AB518203E}" xr6:coauthVersionLast="47" xr6:coauthVersionMax="47" xr10:uidLastSave="{00000000-0000-0000-0000-000000000000}"/>
  <bookViews>
    <workbookView xWindow="-57720" yWindow="-120" windowWidth="29040" windowHeight="1752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1" l="1"/>
  <c r="O2" i="1"/>
  <c r="E2" i="7"/>
  <c r="O30" i="1"/>
  <c r="M30" i="1"/>
  <c r="L30" i="1"/>
  <c r="P30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N20" i="1" s="1"/>
  <c r="O19" i="1"/>
  <c r="M19" i="1"/>
  <c r="L19" i="1"/>
  <c r="P19" i="1" s="1"/>
  <c r="O18" i="1"/>
  <c r="M18" i="1"/>
  <c r="L18" i="1"/>
  <c r="P18" i="1" s="1"/>
  <c r="O16" i="1"/>
  <c r="M16" i="1"/>
  <c r="L16" i="1"/>
  <c r="P16" i="1" s="1"/>
  <c r="O15" i="1"/>
  <c r="M15" i="1"/>
  <c r="L15" i="1"/>
  <c r="N15" i="1" s="1"/>
  <c r="O14" i="1"/>
  <c r="M14" i="1"/>
  <c r="L14" i="1"/>
  <c r="N14" i="1" s="1"/>
  <c r="O13" i="1"/>
  <c r="M13" i="1"/>
  <c r="L13" i="1"/>
  <c r="P13" i="1" s="1"/>
  <c r="O12" i="1"/>
  <c r="M12" i="1"/>
  <c r="L12" i="1"/>
  <c r="N12" i="1" s="1"/>
  <c r="O11" i="1"/>
  <c r="M11" i="1"/>
  <c r="L11" i="1"/>
  <c r="P11" i="1" s="1"/>
  <c r="O10" i="1"/>
  <c r="M10" i="1"/>
  <c r="L10" i="1"/>
  <c r="P10" i="1" s="1"/>
  <c r="P9" i="1"/>
  <c r="O9" i="1"/>
  <c r="N9" i="1"/>
  <c r="M9" i="1"/>
  <c r="L9" i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3" i="1" l="1"/>
  <c r="P8" i="1"/>
  <c r="N10" i="1"/>
  <c r="P14" i="1"/>
  <c r="Q10" i="1"/>
  <c r="Q3" i="1"/>
  <c r="N2" i="1"/>
  <c r="R2" i="1" s="1"/>
  <c r="N19" i="1"/>
  <c r="R19" i="1" s="1"/>
  <c r="P7" i="1"/>
  <c r="P15" i="1"/>
  <c r="N16" i="1"/>
  <c r="R16" i="1" s="1"/>
  <c r="R29" i="1"/>
  <c r="Q29" i="1"/>
  <c r="R7" i="1"/>
  <c r="Q7" i="1"/>
  <c r="R8" i="1"/>
  <c r="Q8" i="1"/>
  <c r="R14" i="1"/>
  <c r="Q14" i="1"/>
  <c r="R15" i="1"/>
  <c r="Q15" i="1"/>
  <c r="R4" i="1"/>
  <c r="Q4" i="1"/>
  <c r="R12" i="1"/>
  <c r="Q12" i="1"/>
  <c r="R20" i="1"/>
  <c r="Q20" i="1"/>
  <c r="R5" i="1"/>
  <c r="Q5" i="1"/>
  <c r="R3" i="1"/>
  <c r="P5" i="1"/>
  <c r="R10" i="1"/>
  <c r="P12" i="1"/>
  <c r="P20" i="1"/>
  <c r="N22" i="1"/>
  <c r="P29" i="1"/>
  <c r="N24" i="1"/>
  <c r="N26" i="1"/>
  <c r="Q9" i="1"/>
  <c r="N11" i="1"/>
  <c r="N13" i="1"/>
  <c r="N28" i="1"/>
  <c r="P4" i="1"/>
  <c r="N6" i="1"/>
  <c r="R9" i="1"/>
  <c r="N21" i="1"/>
  <c r="N30" i="1"/>
  <c r="N23" i="1"/>
  <c r="N18" i="1"/>
  <c r="N25" i="1"/>
  <c r="N27" i="1"/>
  <c r="S15" i="1" l="1"/>
  <c r="S8" i="1"/>
  <c r="Q19" i="1"/>
  <c r="Q2" i="1"/>
  <c r="S30" i="1"/>
  <c r="Q16" i="1"/>
  <c r="S14" i="1"/>
  <c r="S3" i="1"/>
  <c r="R30" i="1"/>
  <c r="Q30" i="1"/>
  <c r="S16" i="1"/>
  <c r="S26" i="1"/>
  <c r="R26" i="1"/>
  <c r="Q26" i="1"/>
  <c r="S10" i="1"/>
  <c r="R6" i="1"/>
  <c r="S6" i="1"/>
  <c r="Q6" i="1"/>
  <c r="S7" i="1"/>
  <c r="S19" i="1"/>
  <c r="S12" i="1"/>
  <c r="S21" i="1"/>
  <c r="R21" i="1"/>
  <c r="Q21" i="1"/>
  <c r="S24" i="1"/>
  <c r="R24" i="1"/>
  <c r="Q24" i="1"/>
  <c r="S20" i="1"/>
  <c r="S27" i="1"/>
  <c r="R27" i="1"/>
  <c r="Q27" i="1"/>
  <c r="S29" i="1"/>
  <c r="S22" i="1"/>
  <c r="R22" i="1"/>
  <c r="Q22" i="1"/>
  <c r="S28" i="1"/>
  <c r="R28" i="1"/>
  <c r="Q28" i="1"/>
  <c r="S13" i="1"/>
  <c r="R13" i="1"/>
  <c r="Q13" i="1"/>
  <c r="R25" i="1"/>
  <c r="Q25" i="1"/>
  <c r="S25" i="1"/>
  <c r="S11" i="1"/>
  <c r="R11" i="1"/>
  <c r="Q11" i="1"/>
  <c r="Q18" i="1"/>
  <c r="S18" i="1"/>
  <c r="R18" i="1"/>
  <c r="S9" i="1"/>
  <c r="S4" i="1"/>
  <c r="S23" i="1"/>
  <c r="R23" i="1"/>
  <c r="Q23" i="1"/>
  <c r="S5" i="1"/>
  <c r="S2" i="1"/>
</calcChain>
</file>

<file path=xl/sharedStrings.xml><?xml version="1.0" encoding="utf-8"?>
<sst xmlns="http://schemas.openxmlformats.org/spreadsheetml/2006/main" count="577" uniqueCount="213">
  <si>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</si>
  <si>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</si>
  <si>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</si>
  <si>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</si>
  <si>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</si>
  <si>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</si>
  <si>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</si>
  <si>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</si>
  <si>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</si>
  <si>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</si>
  <si>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</si>
  <si>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</si>
  <si>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</si>
  <si>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</si>
  <si>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</si>
  <si>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</si>
  <si>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</si>
  <si>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</si>
  <si>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</si>
  <si>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</si>
  <si>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</si>
  <si>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</si>
  <si>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</si>
  <si>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</si>
  <si>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</si>
  <si>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</si>
  <si>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</si>
  <si>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</si>
  <si>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</si>
  <si>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</si>
  <si>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</si>
  <si>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</si>
  <si>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</si>
  <si>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</si>
  <si>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</si>
  <si>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</si>
  <si>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</si>
  <si>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</si>
  <si>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</si>
  <si>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</si>
  <si>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</si>
  <si>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</si>
  <si>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</si>
  <si>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</si>
  <si>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</si>
  <si>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</si>
  <si>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</si>
  <si>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</si>
  <si>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</si>
  <si>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</si>
  <si>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</si>
  <si>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</si>
  <si>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</si>
  <si>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</si>
  <si>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</si>
  <si>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</si>
  <si>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</si>
  <si>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</si>
  <si>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</si>
  <si>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</si>
  <si>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</si>
  <si>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</si>
  <si>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</si>
  <si>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</si>
  <si>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</si>
  <si>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</si>
  <si>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</si>
  <si>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</si>
  <si>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</si>
  <si>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</si>
  <si>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</si>
  <si>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</si>
  <si>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</si>
  <si>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</si>
  <si>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</si>
  <si>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</si>
  <si>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</si>
  <si>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</si>
  <si>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</si>
  <si>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</si>
  <si>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</si>
  <si>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</si>
  <si>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</si>
  <si>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</si>
  <si>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UNITED HEALTH GROUP INCORPORATED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</si>
  <si>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</si>
  <si>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</si>
  <si>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</si>
  <si>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</si>
  <si>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</si>
  <si>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</si>
  <si>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</si>
  <si>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</si>
  <si>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</si>
  <si>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</si>
  <si>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</si>
  <si>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</si>
  <si>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</si>
  <si>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</si>
  <si>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</si>
  <si>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</si>
  <si>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</si>
  <si>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</si>
  <si>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</si>
  <si>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</si>
  <si>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</si>
  <si>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</si>
  <si>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</si>
  <si>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</si>
  <si>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</si>
  <si>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</si>
  <si>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</si>
  <si>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</si>
  <si>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</si>
  <si>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</si>
  <si>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</si>
  <si>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</si>
  <si>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</si>
  <si>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</si>
  <si>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</si>
  <si>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</si>
  <si>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</si>
  <si>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</si>
  <si>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</si>
  <si>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</si>
  <si>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</si>
  <si>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</si>
  <si>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</si>
  <si>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</si>
  <si>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</si>
  <si>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</si>
  <si>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</si>
  <si>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</si>
  <si>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</si>
  <si>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</si>
  <si>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</si>
  <si>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</si>
  <si>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</si>
  <si>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</si>
  <si>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</si>
  <si>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</si>
  <si>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</si>
  <si>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</si>
  <si>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</si>
  <si>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</si>
  <si>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</si>
  <si>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</si>
  <si>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</si>
  <si>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</si>
  <si>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</si>
  <si>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</si>
  <si>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</si>
  <si>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</si>
  <si>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</si>
  <si>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</si>
  <si>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</si>
  <si>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</si>
  <si>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</si>
  <si>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</si>
  <si>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</si>
  <si>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</si>
  <si>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</si>
  <si>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</si>
  <si>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</si>
  <si>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</si>
  <si>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</si>
  <si>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</si>
  <si>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</si>
  <si>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</si>
  <si>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</si>
  <si>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</si>
  <si>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</si>
  <si>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</si>
  <si>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</si>
  <si>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</si>
  <si>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</si>
  <si>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</si>
  <si>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</si>
  <si>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</si>
  <si>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</si>
  <si>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</si>
  <si>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</si>
  <si>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</si>
  <si>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</si>
  <si>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</si>
  <si>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</si>
  <si>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</si>
  <si>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</si>
  <si>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</si>
  <si>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</si>
  <si>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</si>
  <si>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</si>
  <si>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</si>
  <si>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</si>
  <si>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</si>
  <si>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</si>
  <si>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</si>
  <si>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</si>
  <si>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</si>
  <si>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</si>
  <si>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VERIFY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</si>
  <si>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</si>
  <si>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</si>
  <si>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</si>
  <si>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</si>
  <si>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</si>
  <si>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</si>
  <si>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</si>
  <si>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</si>
  <si>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A029</t>
  </si>
  <si>
    <t>iShares Edge MSCI World Quality Factor UCITS ETF</t>
  </si>
  <si>
    <t>IS3Q:XETR</t>
  </si>
  <si>
    <t>IS3Q:DE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</si>
</sst>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29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0"/>
  <sheetViews>
    <sheetView tabSelected="1" zoomScale="80" zoomScaleNormal="80" workbookViewId="0">
      <selection activeCell="K18" sqref="K18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30" ca="1" si="1">IFERROR(G2*K2*L2,"")</f>
        <v/>
      </c>
      <c r="O2" s="12">
        <f>IFERROR(K2/H2-1,"")</f>
        <v>0.13468237048427878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t="shared" ref="S2:S30" ca="1" si="5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30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4.3638021414460576E-2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7.9051148552723619E-2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22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14</v>
      </c>
      <c r="H7" s="8">
        <v>388.08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9.5135023706452326E-2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7.8486831927561562E-2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0.13707883319802694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32178.399999999998</v>
      </c>
      <c r="O10" s="12">
        <f t="shared" si="6"/>
        <v>0.34070074887984658</v>
      </c>
      <c r="P10" s="12">
        <f t="shared" si="2"/>
        <v>0</v>
      </c>
      <c r="Q10" s="11">
        <f t="shared" si="3"/>
        <v>8177.2199999999975</v>
      </c>
      <c r="R10" s="12">
        <f t="shared" si="4"/>
        <v>0.34070074887984658</v>
      </c>
      <c r="S10" s="12">
        <f t="shared" ca="1" si="5"/>
        <v>4.4053386926527945E-2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76</v>
      </c>
      <c r="D11" s="6" t="s">
        <v>77</v>
      </c>
      <c r="E11" s="6" t="s">
        <v>78</v>
      </c>
      <c r="F11" s="6"/>
      <c r="G11" s="7">
        <v>14</v>
      </c>
      <c r="H11" s="8">
        <v>142.44</v>
      </c>
      <c r="I11" s="6" t="s">
        <v>48</v>
      </c>
      <c r="J11" s="9"/>
      <c r="K11" s="8">
        <v>157.72</v>
      </c>
      <c r="L11" s="13" t="str">
        <f ca="1">IF(I11="DKK",1,IFERROR(_xludf.XLOOKUP(I11,FX!$A$2:$A$20,FX!$B$2:$B$20,""),""))</f>
        <v/>
      </c>
      <c r="M11" s="11">
        <f t="shared" si="0"/>
        <v>0</v>
      </c>
      <c r="N11" s="11" t="str">
        <f t="shared" ca="1" si="1"/>
        <v/>
      </c>
      <c r="O11" s="12">
        <f t="shared" si="6"/>
        <v>0.10727323785453535</v>
      </c>
      <c r="P11" s="12" t="str">
        <f t="shared" ca="1" si="2"/>
        <v/>
      </c>
      <c r="Q11" s="11" t="str">
        <f t="shared" ca="1" si="3"/>
        <v/>
      </c>
      <c r="R11" s="12" t="str">
        <f t="shared" ca="1" si="4"/>
        <v/>
      </c>
      <c r="S11" s="12">
        <f t="shared" ca="1" si="5"/>
        <v>0</v>
      </c>
      <c r="T11" s="6" t="s">
        <v>34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80</v>
      </c>
      <c r="D12" s="6" t="s">
        <v>81</v>
      </c>
      <c r="E12" s="6" t="s">
        <v>82</v>
      </c>
      <c r="F12" s="6"/>
      <c r="G12" s="7">
        <v>14</v>
      </c>
      <c r="H12" s="8">
        <v>414.2</v>
      </c>
      <c r="I12" s="6" t="s">
        <v>57</v>
      </c>
      <c r="J12" s="9"/>
      <c r="K12" s="8">
        <v>418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9.1743119266054496E-3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84</v>
      </c>
      <c r="D13" s="6" t="s">
        <v>85</v>
      </c>
      <c r="E13" s="6" t="s">
        <v>86</v>
      </c>
      <c r="F13" s="6"/>
      <c r="G13" s="7">
        <v>3</v>
      </c>
      <c r="H13" s="8">
        <v>366.4</v>
      </c>
      <c r="I13" s="6" t="s">
        <v>48</v>
      </c>
      <c r="J13" s="9"/>
      <c r="K13" s="8">
        <v>354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-3.3842794759825212E-2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69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87</v>
      </c>
      <c r="B14" s="6" t="s">
        <v>29</v>
      </c>
      <c r="C14" s="14" t="s">
        <v>88</v>
      </c>
      <c r="D14" s="6" t="s">
        <v>89</v>
      </c>
      <c r="E14" s="6" t="s">
        <v>90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 t="shared" si="0"/>
        <v>15750.720000000001</v>
      </c>
      <c r="N14" s="11">
        <f t="shared" si="1"/>
        <v>19067.400000000001</v>
      </c>
      <c r="O14" s="12">
        <f t="shared" si="6"/>
        <v>0.21057323093801439</v>
      </c>
      <c r="P14" s="12">
        <f t="shared" si="2"/>
        <v>0</v>
      </c>
      <c r="Q14" s="11">
        <f t="shared" si="3"/>
        <v>3316.6800000000003</v>
      </c>
      <c r="R14" s="12">
        <f t="shared" si="4"/>
        <v>0.21057323093801417</v>
      </c>
      <c r="S14" s="12">
        <f t="shared" ca="1" si="5"/>
        <v>2.6103956377037982E-2</v>
      </c>
      <c r="T14" s="6" t="s">
        <v>91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92</v>
      </c>
      <c r="B15" s="6" t="s">
        <v>93</v>
      </c>
      <c r="C15" s="14" t="s">
        <v>94</v>
      </c>
      <c r="D15" s="6" t="s">
        <v>95</v>
      </c>
      <c r="E15" s="6" t="s">
        <v>95</v>
      </c>
      <c r="F15" s="6"/>
      <c r="G15" s="7">
        <v>37</v>
      </c>
      <c r="H15" s="8">
        <v>58.79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-1.3437659465895591E-2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96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97</v>
      </c>
      <c r="AB15" s="14"/>
    </row>
    <row r="16" spans="1:28">
      <c r="A16" s="6" t="s">
        <v>98</v>
      </c>
      <c r="B16" s="6" t="s">
        <v>93</v>
      </c>
      <c r="C16" s="14" t="s">
        <v>99</v>
      </c>
      <c r="D16" s="6" t="s">
        <v>100</v>
      </c>
      <c r="E16" s="6" t="s">
        <v>100</v>
      </c>
      <c r="F16" s="6"/>
      <c r="G16" s="7">
        <v>74</v>
      </c>
      <c r="H16" s="8">
        <v>44.308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8.3325810237429021E-2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101</v>
      </c>
      <c r="B17" s="6" t="s">
        <v>93</v>
      </c>
      <c r="C17" s="14" t="s">
        <v>210</v>
      </c>
      <c r="D17" s="6" t="s">
        <v>211</v>
      </c>
      <c r="E17" s="6" t="s">
        <v>212</v>
      </c>
      <c r="F17" s="6"/>
      <c r="G17" s="7">
        <v>17</v>
      </c>
      <c r="H17" s="8">
        <v>78.83</v>
      </c>
      <c r="I17" s="6" t="s">
        <v>48</v>
      </c>
      <c r="J17" s="9"/>
      <c r="K17" s="8">
        <v>79</v>
      </c>
      <c r="L17" s="13"/>
      <c r="M17" s="11"/>
      <c r="N17" s="11"/>
      <c r="O17" s="12">
        <f t="shared" si="6"/>
        <v>2.1565393885576434E-3</v>
      </c>
      <c r="P17" s="12"/>
      <c r="Q17" s="11"/>
      <c r="R17" s="12"/>
      <c r="S17" s="12"/>
      <c r="T17" s="6" t="s">
        <v>140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104</v>
      </c>
      <c r="B18" s="6" t="s">
        <v>93</v>
      </c>
      <c r="C18" s="14" t="s">
        <v>102</v>
      </c>
      <c r="D18" s="6" t="s">
        <v>103</v>
      </c>
      <c r="E18" s="6" t="s">
        <v>103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-0.20580110497237569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ca="1" si="5"/>
        <v>0</v>
      </c>
      <c r="T18" s="6" t="s">
        <v>91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107</v>
      </c>
      <c r="B19" s="6" t="s">
        <v>93</v>
      </c>
      <c r="C19" s="14" t="s">
        <v>105</v>
      </c>
      <c r="D19" s="6" t="s">
        <v>106</v>
      </c>
      <c r="E19" s="6" t="s">
        <v>106</v>
      </c>
      <c r="F19" s="6"/>
      <c r="G19" s="7">
        <v>185</v>
      </c>
      <c r="H19" s="8">
        <v>10.622</v>
      </c>
      <c r="I19" s="6" t="s">
        <v>48</v>
      </c>
      <c r="J19" s="9"/>
      <c r="K19" s="8">
        <v>9.3000000000000007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-0.12445867068348704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5"/>
        <v>0</v>
      </c>
      <c r="T19" s="6" t="s">
        <v>91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110</v>
      </c>
      <c r="B20" s="6" t="s">
        <v>93</v>
      </c>
      <c r="C20" s="14" t="s">
        <v>108</v>
      </c>
      <c r="D20" s="6" t="s">
        <v>109</v>
      </c>
      <c r="E20" s="6" t="s">
        <v>109</v>
      </c>
      <c r="F20" s="6"/>
      <c r="G20" s="7">
        <v>363</v>
      </c>
      <c r="H20" s="8">
        <v>9</v>
      </c>
      <c r="I20" s="6" t="s">
        <v>48</v>
      </c>
      <c r="J20" s="9"/>
      <c r="K20" s="8">
        <v>17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0.88888888888888884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5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113</v>
      </c>
      <c r="B21" s="6" t="s">
        <v>93</v>
      </c>
      <c r="C21" s="14" t="s">
        <v>111</v>
      </c>
      <c r="D21" s="6" t="s">
        <v>112</v>
      </c>
      <c r="E21" s="6" t="s">
        <v>112</v>
      </c>
      <c r="F21" s="6"/>
      <c r="G21" s="7">
        <v>19</v>
      </c>
      <c r="H21" s="8">
        <v>114.15900000000001</v>
      </c>
      <c r="I21" s="6" t="s">
        <v>48</v>
      </c>
      <c r="J21" s="9"/>
      <c r="K21" s="8">
        <v>105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-8.0230205240059971E-2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5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117</v>
      </c>
      <c r="B22" s="6" t="s">
        <v>93</v>
      </c>
      <c r="C22" s="14" t="s">
        <v>114</v>
      </c>
      <c r="D22" s="6" t="s">
        <v>115</v>
      </c>
      <c r="E22" s="6" t="s">
        <v>115</v>
      </c>
      <c r="F22" s="6"/>
      <c r="G22" s="7">
        <v>154</v>
      </c>
      <c r="H22" s="8">
        <v>8.6419999999999995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-7.4288359176116536E-2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5"/>
        <v>0</v>
      </c>
      <c r="T22" s="6" t="s">
        <v>116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121</v>
      </c>
      <c r="B23" s="6" t="s">
        <v>93</v>
      </c>
      <c r="C23" s="14" t="s">
        <v>118</v>
      </c>
      <c r="D23" s="6" t="s">
        <v>119</v>
      </c>
      <c r="E23" s="6" t="s">
        <v>119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5"/>
        <v>0</v>
      </c>
      <c r="T23" s="6" t="s">
        <v>120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124</v>
      </c>
      <c r="B24" s="6" t="s">
        <v>93</v>
      </c>
      <c r="C24" s="14" t="s">
        <v>122</v>
      </c>
      <c r="D24" s="6" t="s">
        <v>123</v>
      </c>
      <c r="E24" s="6" t="s">
        <v>123</v>
      </c>
      <c r="F24" s="6"/>
      <c r="G24" s="7">
        <v>47</v>
      </c>
      <c r="H24" s="8">
        <v>27.972000000000001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-7.049907049907056E-2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5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127</v>
      </c>
      <c r="B25" s="6" t="s">
        <v>93</v>
      </c>
      <c r="C25" s="14" t="s">
        <v>125</v>
      </c>
      <c r="D25" s="6" t="s">
        <v>126</v>
      </c>
      <c r="E25" s="6" t="s">
        <v>126</v>
      </c>
      <c r="F25" s="6"/>
      <c r="G25" s="7">
        <v>161</v>
      </c>
      <c r="H25" s="8">
        <v>16.594000000000001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-0.27684705315174163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5"/>
        <v>0</v>
      </c>
      <c r="T25" s="6" t="s">
        <v>96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130</v>
      </c>
      <c r="B26" s="6" t="s">
        <v>93</v>
      </c>
      <c r="C26" s="14" t="s">
        <v>128</v>
      </c>
      <c r="D26" s="6" t="s">
        <v>129</v>
      </c>
      <c r="E26" s="6" t="s">
        <v>129</v>
      </c>
      <c r="F26" s="6"/>
      <c r="G26" s="7">
        <v>46</v>
      </c>
      <c r="H26" s="8">
        <v>55.45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-2.6149684400360695E-2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5"/>
        <v>0</v>
      </c>
      <c r="T26" s="6" t="s">
        <v>96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134</v>
      </c>
      <c r="B27" s="6" t="s">
        <v>93</v>
      </c>
      <c r="C27" s="14" t="s">
        <v>131</v>
      </c>
      <c r="D27" s="6" t="s">
        <v>132</v>
      </c>
      <c r="E27" s="6" t="s">
        <v>132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5"/>
        <v>0</v>
      </c>
      <c r="T27" s="6" t="s">
        <v>133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137</v>
      </c>
      <c r="B28" s="6" t="s">
        <v>93</v>
      </c>
      <c r="C28" s="14" t="s">
        <v>135</v>
      </c>
      <c r="D28" s="6" t="s">
        <v>136</v>
      </c>
      <c r="E28" s="6" t="s">
        <v>136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5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142</v>
      </c>
      <c r="B29" s="6" t="s">
        <v>93</v>
      </c>
      <c r="C29" s="14" t="s">
        <v>138</v>
      </c>
      <c r="D29" s="6" t="s">
        <v>139</v>
      </c>
      <c r="E29" s="6" t="s">
        <v>139</v>
      </c>
      <c r="F29" s="6"/>
      <c r="G29" s="7">
        <v>18</v>
      </c>
      <c r="H29" s="8">
        <v>159</v>
      </c>
      <c r="I29" s="6" t="s">
        <v>48</v>
      </c>
      <c r="J29" s="9"/>
      <c r="K29" s="8">
        <v>168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5.6603773584905648E-2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5"/>
        <v>0</v>
      </c>
      <c r="T29" s="6" t="s">
        <v>140</v>
      </c>
      <c r="U29" s="6" t="s">
        <v>141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209</v>
      </c>
      <c r="B30" s="6" t="s">
        <v>29</v>
      </c>
      <c r="C30" s="14" t="s">
        <v>143</v>
      </c>
      <c r="D30" s="6" t="s">
        <v>143</v>
      </c>
      <c r="E30" s="6" t="s">
        <v>143</v>
      </c>
      <c r="F30" s="6"/>
      <c r="G30" s="7">
        <v>260</v>
      </c>
      <c r="H30" s="8">
        <v>606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157560</v>
      </c>
      <c r="N30" s="11">
        <f t="shared" si="1"/>
        <v>432120</v>
      </c>
      <c r="O30" s="12">
        <f t="shared" si="6"/>
        <v>1.7425742574257428</v>
      </c>
      <c r="P30" s="12">
        <f t="shared" si="2"/>
        <v>0</v>
      </c>
      <c r="Q30" s="11">
        <f t="shared" si="3"/>
        <v>274560</v>
      </c>
      <c r="R30" s="12">
        <f t="shared" si="4"/>
        <v>1.7425742574257428</v>
      </c>
      <c r="S30" s="12">
        <f t="shared" ca="1" si="5"/>
        <v>0.5915878216036613</v>
      </c>
      <c r="T30" s="6" t="s">
        <v>58</v>
      </c>
      <c r="U30" s="6" t="s">
        <v>144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145</v>
      </c>
      <c r="C1" s="2" t="s">
        <v>146</v>
      </c>
      <c r="D1" s="2" t="s">
        <v>147</v>
      </c>
      <c r="E1" s="2" t="s">
        <v>148</v>
      </c>
      <c r="F1" s="2" t="s">
        <v>27</v>
      </c>
    </row>
    <row r="2" spans="1:6">
      <c r="A2" t="s">
        <v>35</v>
      </c>
      <c r="B2" t="s">
        <v>149</v>
      </c>
      <c r="C2" t="s">
        <v>35</v>
      </c>
      <c r="D2" s="1" t="b">
        <v>1</v>
      </c>
      <c r="E2" s="1" t="b">
        <v>1</v>
      </c>
    </row>
    <row r="3" spans="1:6">
      <c r="A3" t="s">
        <v>141</v>
      </c>
      <c r="B3" t="s">
        <v>141</v>
      </c>
      <c r="C3" t="s">
        <v>141</v>
      </c>
      <c r="D3" s="1" t="b">
        <v>1</v>
      </c>
      <c r="E3" s="1" t="b">
        <v>1</v>
      </c>
    </row>
    <row r="4" spans="1:6">
      <c r="A4" t="s">
        <v>144</v>
      </c>
      <c r="B4" t="s">
        <v>150</v>
      </c>
      <c r="C4" t="s">
        <v>151</v>
      </c>
      <c r="D4" s="1" t="b">
        <v>1</v>
      </c>
      <c r="E4" s="1" t="b">
        <v>0</v>
      </c>
      <c r="F4" t="s">
        <v>152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1"/>
  <sheetViews>
    <sheetView workbookViewId="0">
      <selection activeCell="D20" sqref="D20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153</v>
      </c>
      <c r="B1" s="2" t="s">
        <v>154</v>
      </c>
      <c r="C1" s="2" t="s">
        <v>155</v>
      </c>
      <c r="D1" s="2" t="s">
        <v>156</v>
      </c>
    </row>
    <row r="2" spans="1:4">
      <c r="A2" t="s">
        <v>157</v>
      </c>
      <c r="B2" t="s">
        <v>158</v>
      </c>
      <c r="D2" t="s">
        <v>159</v>
      </c>
    </row>
    <row r="3" spans="1:4">
      <c r="A3" t="s">
        <v>160</v>
      </c>
      <c r="B3" s="5">
        <v>0.02</v>
      </c>
      <c r="C3" t="s">
        <v>161</v>
      </c>
      <c r="D3" t="s">
        <v>162</v>
      </c>
    </row>
    <row r="4" spans="1:4">
      <c r="A4" t="s">
        <v>163</v>
      </c>
      <c r="B4" s="5">
        <v>0.14000000000000001</v>
      </c>
      <c r="C4" t="s">
        <v>161</v>
      </c>
      <c r="D4" t="s">
        <v>164</v>
      </c>
    </row>
    <row r="5" spans="1:4">
      <c r="A5" t="s">
        <v>165</v>
      </c>
      <c r="B5" s="5">
        <v>0.2</v>
      </c>
      <c r="C5" t="s">
        <v>161</v>
      </c>
      <c r="D5" t="s">
        <v>166</v>
      </c>
    </row>
    <row r="6" spans="1:4">
      <c r="A6" t="s">
        <v>167</v>
      </c>
      <c r="B6" s="5">
        <v>0.25</v>
      </c>
      <c r="C6" t="s">
        <v>161</v>
      </c>
      <c r="D6" t="s">
        <v>166</v>
      </c>
    </row>
    <row r="7" spans="1:4">
      <c r="A7" t="s">
        <v>168</v>
      </c>
      <c r="B7" s="5">
        <v>0.25</v>
      </c>
      <c r="C7" t="s">
        <v>161</v>
      </c>
      <c r="D7" t="s">
        <v>166</v>
      </c>
    </row>
    <row r="8" spans="1:4">
      <c r="A8" t="s">
        <v>169</v>
      </c>
      <c r="B8" s="5">
        <v>0.2</v>
      </c>
      <c r="C8" t="s">
        <v>161</v>
      </c>
      <c r="D8" t="s">
        <v>166</v>
      </c>
    </row>
    <row r="9" spans="1:4">
      <c r="A9" t="s">
        <v>170</v>
      </c>
      <c r="B9" s="5">
        <v>0.1</v>
      </c>
      <c r="C9" t="s">
        <v>161</v>
      </c>
      <c r="D9" t="s">
        <v>166</v>
      </c>
    </row>
    <row r="10" spans="1:4">
      <c r="A10" t="s">
        <v>171</v>
      </c>
      <c r="B10" t="s">
        <v>172</v>
      </c>
      <c r="D10" t="s">
        <v>173</v>
      </c>
    </row>
    <row r="11" spans="1:4">
      <c r="A11" t="s">
        <v>174</v>
      </c>
      <c r="B11">
        <v>5</v>
      </c>
      <c r="C11" t="s">
        <v>175</v>
      </c>
      <c r="D11" t="s">
        <v>176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</row>
    <row r="2" spans="1:7">
      <c r="A2" t="s">
        <v>42</v>
      </c>
      <c r="B2" s="3">
        <v>1</v>
      </c>
      <c r="D2" t="s">
        <v>182</v>
      </c>
      <c r="E2">
        <v>1</v>
      </c>
      <c r="F2" s="1" t="b">
        <v>0</v>
      </c>
      <c r="G2" t="s">
        <v>183</v>
      </c>
    </row>
    <row r="3" spans="1:7">
      <c r="A3" t="s">
        <v>48</v>
      </c>
      <c r="B3" s="3"/>
      <c r="D3" t="s">
        <v>184</v>
      </c>
      <c r="F3" s="1" t="b">
        <v>0</v>
      </c>
      <c r="G3" t="s">
        <v>185</v>
      </c>
    </row>
    <row r="4" spans="1:7">
      <c r="A4" t="s">
        <v>57</v>
      </c>
      <c r="B4" s="3"/>
      <c r="D4" t="s">
        <v>184</v>
      </c>
      <c r="F4" s="1" t="b">
        <v>0</v>
      </c>
      <c r="G4" t="s">
        <v>185</v>
      </c>
    </row>
    <row r="5" spans="1:7">
      <c r="A5" t="s">
        <v>33</v>
      </c>
      <c r="B5" s="3"/>
      <c r="D5" t="s">
        <v>184</v>
      </c>
      <c r="F5" s="1" t="b">
        <v>0</v>
      </c>
      <c r="G5" t="s">
        <v>185</v>
      </c>
    </row>
    <row r="6" spans="1:7">
      <c r="A6" t="s">
        <v>186</v>
      </c>
      <c r="B6" s="3"/>
      <c r="D6" t="s">
        <v>184</v>
      </c>
      <c r="F6" s="1" t="b">
        <v>0</v>
      </c>
      <c r="G6" t="s">
        <v>185</v>
      </c>
    </row>
    <row r="7" spans="1:7">
      <c r="A7" t="s">
        <v>187</v>
      </c>
      <c r="B7" s="3"/>
      <c r="D7" t="s">
        <v>184</v>
      </c>
      <c r="F7" s="1" t="b">
        <v>0</v>
      </c>
      <c r="G7" t="s">
        <v>185</v>
      </c>
    </row>
    <row r="8" spans="1:7">
      <c r="A8" t="s">
        <v>188</v>
      </c>
      <c r="B8" s="3"/>
      <c r="D8" t="s">
        <v>184</v>
      </c>
      <c r="F8" s="1" t="b">
        <v>0</v>
      </c>
      <c r="G8" t="s">
        <v>185</v>
      </c>
    </row>
    <row r="9" spans="1:7">
      <c r="A9" t="s">
        <v>189</v>
      </c>
      <c r="B9" s="3"/>
      <c r="D9" t="s">
        <v>184</v>
      </c>
      <c r="F9" s="1" t="b">
        <v>0</v>
      </c>
      <c r="G9" t="s">
        <v>185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9"/>
  <sheetViews>
    <sheetView workbookViewId="0">
      <selection activeCell="L11" sqref="L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190</v>
      </c>
      <c r="D1" s="2" t="s">
        <v>8</v>
      </c>
      <c r="E1" s="2" t="s">
        <v>191</v>
      </c>
      <c r="F1" s="2" t="s">
        <v>192</v>
      </c>
    </row>
    <row r="2" spans="1:6">
      <c r="A2" t="s">
        <v>31</v>
      </c>
      <c r="B2" t="s">
        <v>32</v>
      </c>
      <c r="C2" t="s">
        <v>193</v>
      </c>
      <c r="D2" t="s">
        <v>33</v>
      </c>
      <c r="E2" t="s">
        <v>194</v>
      </c>
      <c r="F2" t="s">
        <v>183</v>
      </c>
    </row>
    <row r="3" spans="1:6">
      <c r="A3" t="s">
        <v>40</v>
      </c>
      <c r="B3" t="s">
        <v>41</v>
      </c>
      <c r="C3" t="s">
        <v>195</v>
      </c>
      <c r="D3" t="s">
        <v>42</v>
      </c>
      <c r="E3" t="s">
        <v>194</v>
      </c>
      <c r="F3" t="s">
        <v>183</v>
      </c>
    </row>
    <row r="4" spans="1:6">
      <c r="A4" t="s">
        <v>46</v>
      </c>
      <c r="B4" t="s">
        <v>47</v>
      </c>
      <c r="C4" t="s">
        <v>196</v>
      </c>
      <c r="D4" t="s">
        <v>48</v>
      </c>
      <c r="E4" t="s">
        <v>194</v>
      </c>
      <c r="F4" t="s">
        <v>183</v>
      </c>
    </row>
    <row r="5" spans="1:6">
      <c r="A5" t="s">
        <v>52</v>
      </c>
      <c r="B5" t="s">
        <v>53</v>
      </c>
      <c r="C5" t="s">
        <v>195</v>
      </c>
      <c r="D5" t="s">
        <v>42</v>
      </c>
      <c r="E5" t="s">
        <v>194</v>
      </c>
      <c r="F5" t="s">
        <v>183</v>
      </c>
    </row>
    <row r="6" spans="1:6">
      <c r="A6" t="s">
        <v>56</v>
      </c>
      <c r="B6" t="s">
        <v>56</v>
      </c>
      <c r="D6" t="s">
        <v>57</v>
      </c>
      <c r="E6" t="s">
        <v>194</v>
      </c>
      <c r="F6" t="s">
        <v>183</v>
      </c>
    </row>
    <row r="7" spans="1:6">
      <c r="A7" t="s">
        <v>61</v>
      </c>
      <c r="B7" t="s">
        <v>62</v>
      </c>
      <c r="C7" t="s">
        <v>197</v>
      </c>
      <c r="D7" t="s">
        <v>48</v>
      </c>
      <c r="E7" t="s">
        <v>194</v>
      </c>
      <c r="F7" t="s">
        <v>183</v>
      </c>
    </row>
    <row r="8" spans="1:6">
      <c r="A8" t="s">
        <v>65</v>
      </c>
      <c r="B8" t="s">
        <v>65</v>
      </c>
      <c r="D8" t="s">
        <v>42</v>
      </c>
      <c r="E8" t="s">
        <v>194</v>
      </c>
      <c r="F8" t="s">
        <v>183</v>
      </c>
    </row>
    <row r="9" spans="1:6">
      <c r="A9" t="s">
        <v>68</v>
      </c>
      <c r="B9" t="s">
        <v>68</v>
      </c>
      <c r="D9" t="s">
        <v>42</v>
      </c>
      <c r="E9" t="s">
        <v>194</v>
      </c>
      <c r="F9" t="s">
        <v>183</v>
      </c>
    </row>
    <row r="10" spans="1:6">
      <c r="A10" t="s">
        <v>72</v>
      </c>
      <c r="B10" t="s">
        <v>73</v>
      </c>
      <c r="C10" t="s">
        <v>195</v>
      </c>
      <c r="D10" t="s">
        <v>42</v>
      </c>
      <c r="E10" t="s">
        <v>194</v>
      </c>
      <c r="F10" t="s">
        <v>183</v>
      </c>
    </row>
    <row r="11" spans="1:6">
      <c r="A11" t="s">
        <v>77</v>
      </c>
      <c r="B11" t="s">
        <v>78</v>
      </c>
      <c r="C11" t="s">
        <v>197</v>
      </c>
      <c r="D11" t="s">
        <v>48</v>
      </c>
      <c r="E11" t="s">
        <v>194</v>
      </c>
      <c r="F11" t="s">
        <v>183</v>
      </c>
    </row>
    <row r="12" spans="1:6">
      <c r="A12" t="s">
        <v>81</v>
      </c>
      <c r="B12" t="s">
        <v>82</v>
      </c>
      <c r="C12" t="s">
        <v>198</v>
      </c>
      <c r="D12" t="s">
        <v>57</v>
      </c>
      <c r="E12" t="s">
        <v>194</v>
      </c>
      <c r="F12" t="s">
        <v>183</v>
      </c>
    </row>
    <row r="13" spans="1:6">
      <c r="A13" t="s">
        <v>85</v>
      </c>
      <c r="B13" t="s">
        <v>86</v>
      </c>
      <c r="C13" t="s">
        <v>197</v>
      </c>
      <c r="D13" t="s">
        <v>48</v>
      </c>
      <c r="E13" t="s">
        <v>194</v>
      </c>
      <c r="F13" t="s">
        <v>183</v>
      </c>
    </row>
    <row r="14" spans="1:6">
      <c r="A14" t="s">
        <v>89</v>
      </c>
      <c r="B14" t="s">
        <v>90</v>
      </c>
      <c r="C14" t="s">
        <v>195</v>
      </c>
      <c r="D14" t="s">
        <v>42</v>
      </c>
      <c r="E14" t="s">
        <v>194</v>
      </c>
      <c r="F14" t="s">
        <v>183</v>
      </c>
    </row>
    <row r="15" spans="1:6">
      <c r="A15" t="s">
        <v>95</v>
      </c>
      <c r="B15" t="s">
        <v>95</v>
      </c>
      <c r="C15" t="s">
        <v>199</v>
      </c>
      <c r="D15" t="s">
        <v>57</v>
      </c>
      <c r="E15" t="s">
        <v>194</v>
      </c>
      <c r="F15" t="s">
        <v>200</v>
      </c>
    </row>
    <row r="16" spans="1:6">
      <c r="A16" t="s">
        <v>100</v>
      </c>
      <c r="B16" t="s">
        <v>100</v>
      </c>
      <c r="D16" t="s">
        <v>48</v>
      </c>
      <c r="E16" t="s">
        <v>194</v>
      </c>
      <c r="F16" t="s">
        <v>183</v>
      </c>
    </row>
    <row r="17" spans="1:6">
      <c r="A17" t="s">
        <v>103</v>
      </c>
      <c r="B17" t="s">
        <v>103</v>
      </c>
      <c r="D17" t="s">
        <v>48</v>
      </c>
      <c r="E17" t="s">
        <v>194</v>
      </c>
      <c r="F17" t="s">
        <v>183</v>
      </c>
    </row>
    <row r="18" spans="1:6">
      <c r="A18" t="s">
        <v>106</v>
      </c>
      <c r="B18" t="s">
        <v>106</v>
      </c>
      <c r="D18" t="s">
        <v>48</v>
      </c>
      <c r="E18" t="s">
        <v>194</v>
      </c>
      <c r="F18" t="s">
        <v>183</v>
      </c>
    </row>
    <row r="19" spans="1:6">
      <c r="A19" t="s">
        <v>109</v>
      </c>
      <c r="B19" t="s">
        <v>109</v>
      </c>
      <c r="D19" t="s">
        <v>48</v>
      </c>
      <c r="E19" t="s">
        <v>194</v>
      </c>
      <c r="F19" t="s">
        <v>183</v>
      </c>
    </row>
    <row r="20" spans="1:6">
      <c r="A20" t="s">
        <v>112</v>
      </c>
      <c r="B20" t="s">
        <v>112</v>
      </c>
      <c r="D20" t="s">
        <v>48</v>
      </c>
      <c r="E20" t="s">
        <v>194</v>
      </c>
      <c r="F20" t="s">
        <v>183</v>
      </c>
    </row>
    <row r="21" spans="1:6">
      <c r="A21" t="s">
        <v>115</v>
      </c>
      <c r="B21" t="s">
        <v>115</v>
      </c>
      <c r="D21" t="s">
        <v>48</v>
      </c>
      <c r="E21" t="s">
        <v>194</v>
      </c>
      <c r="F21" t="s">
        <v>183</v>
      </c>
    </row>
    <row r="22" spans="1:6">
      <c r="A22" t="s">
        <v>119</v>
      </c>
      <c r="B22" t="s">
        <v>119</v>
      </c>
      <c r="D22" t="s">
        <v>48</v>
      </c>
      <c r="E22" t="s">
        <v>194</v>
      </c>
      <c r="F22" t="s">
        <v>183</v>
      </c>
    </row>
    <row r="23" spans="1:6">
      <c r="A23" t="s">
        <v>123</v>
      </c>
      <c r="B23" t="s">
        <v>123</v>
      </c>
      <c r="D23" t="s">
        <v>48</v>
      </c>
      <c r="E23" t="s">
        <v>194</v>
      </c>
      <c r="F23" t="s">
        <v>183</v>
      </c>
    </row>
    <row r="24" spans="1:6">
      <c r="A24" t="s">
        <v>126</v>
      </c>
      <c r="B24" t="s">
        <v>126</v>
      </c>
      <c r="D24" t="s">
        <v>48</v>
      </c>
      <c r="E24" t="s">
        <v>194</v>
      </c>
      <c r="F24" t="s">
        <v>183</v>
      </c>
    </row>
    <row r="25" spans="1:6">
      <c r="A25" t="s">
        <v>129</v>
      </c>
      <c r="B25" t="s">
        <v>129</v>
      </c>
      <c r="D25" t="s">
        <v>48</v>
      </c>
      <c r="E25" t="s">
        <v>194</v>
      </c>
      <c r="F25" t="s">
        <v>183</v>
      </c>
    </row>
    <row r="26" spans="1:6">
      <c r="A26" t="s">
        <v>132</v>
      </c>
      <c r="B26" t="s">
        <v>132</v>
      </c>
      <c r="D26" t="s">
        <v>48</v>
      </c>
      <c r="E26" t="s">
        <v>194</v>
      </c>
      <c r="F26" t="s">
        <v>183</v>
      </c>
    </row>
    <row r="27" spans="1:6">
      <c r="A27" t="s">
        <v>136</v>
      </c>
      <c r="B27" t="s">
        <v>136</v>
      </c>
      <c r="D27" t="s">
        <v>48</v>
      </c>
      <c r="E27" t="s">
        <v>194</v>
      </c>
      <c r="F27" t="s">
        <v>183</v>
      </c>
    </row>
    <row r="28" spans="1:6">
      <c r="A28" t="s">
        <v>139</v>
      </c>
      <c r="B28" t="s">
        <v>139</v>
      </c>
      <c r="D28" t="s">
        <v>48</v>
      </c>
      <c r="E28" t="s">
        <v>194</v>
      </c>
      <c r="F28" t="s">
        <v>183</v>
      </c>
    </row>
    <row r="29" spans="1:6">
      <c r="A29" t="s">
        <v>143</v>
      </c>
      <c r="B29" t="s">
        <v>143</v>
      </c>
      <c r="D29" t="s">
        <v>42</v>
      </c>
      <c r="E29" t="s">
        <v>194</v>
      </c>
      <c r="F29" t="s">
        <v>183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201</v>
      </c>
      <c r="G1" s="2" t="s">
        <v>202</v>
      </c>
      <c r="H1" s="2" t="s">
        <v>203</v>
      </c>
      <c r="I1" s="2" t="s">
        <v>204</v>
      </c>
      <c r="J1" s="2" t="s">
        <v>27</v>
      </c>
    </row>
    <row r="2" spans="1:10">
      <c r="F2" t="s">
        <v>205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206</v>
      </c>
      <c r="D1" s="2" t="s">
        <v>207</v>
      </c>
      <c r="E1" s="2" t="s">
        <v>208</v>
      </c>
      <c r="F1" s="2" t="s">
        <v>147</v>
      </c>
      <c r="G1" s="2" t="s">
        <v>148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2026-08-05T11:28:42Z</dcterms:modified>
</cp:coreProperties>
</file>