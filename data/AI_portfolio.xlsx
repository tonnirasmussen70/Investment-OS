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13_ncr:1_{5FF51D45-9659-49F4-8ECA-B5E9B781814A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0" i="1" l="1"/>
  <c r="O30" i="1"/>
  <c r="G31" i="1"/>
  <c r="R5" i="1" l="1"/>
  <c r="Q5" i="1"/>
  <c r="P5" i="1"/>
  <c r="O5" i="1"/>
  <c r="O12" i="1"/>
  <c r="P12" i="1"/>
  <c r="Q12" i="1"/>
  <c r="R12" i="1"/>
  <c r="M15" i="1"/>
  <c r="O19" i="1"/>
  <c r="O2" i="1"/>
  <c r="E2" i="7"/>
  <c r="O31" i="1"/>
  <c r="M31" i="1"/>
  <c r="L31" i="1"/>
  <c r="P31" i="1" s="1"/>
  <c r="O29" i="1"/>
  <c r="M29" i="1"/>
  <c r="L29" i="1"/>
  <c r="N29" i="1" s="1"/>
  <c r="O28" i="1"/>
  <c r="M28" i="1"/>
  <c r="L28" i="1"/>
  <c r="P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N21" i="1" s="1"/>
  <c r="O20" i="1"/>
  <c r="M20" i="1"/>
  <c r="L20" i="1"/>
  <c r="P20" i="1" s="1"/>
  <c r="O18" i="1"/>
  <c r="M18" i="1"/>
  <c r="L18" i="1"/>
  <c r="P18" i="1" s="1"/>
  <c r="O17" i="1"/>
  <c r="M17" i="1"/>
  <c r="L17" i="1"/>
  <c r="P17" i="1" s="1"/>
  <c r="O16" i="1"/>
  <c r="M16" i="1"/>
  <c r="L16" i="1"/>
  <c r="N16" i="1" s="1"/>
  <c r="O15" i="1"/>
  <c r="L15" i="1"/>
  <c r="N15" i="1" s="1"/>
  <c r="O14" i="1"/>
  <c r="M14" i="1"/>
  <c r="L14" i="1"/>
  <c r="N14" i="1" s="1"/>
  <c r="O13" i="1"/>
  <c r="M13" i="1"/>
  <c r="L13" i="1"/>
  <c r="P13" i="1" s="1"/>
  <c r="O11" i="1"/>
  <c r="M11" i="1"/>
  <c r="L11" i="1"/>
  <c r="P11" i="1" s="1"/>
  <c r="O10" i="1"/>
  <c r="M10" i="1"/>
  <c r="L10" i="1"/>
  <c r="P10" i="1" s="1"/>
  <c r="O9" i="1"/>
  <c r="M9" i="1"/>
  <c r="L9" i="1"/>
  <c r="N9" i="1" s="1"/>
  <c r="O8" i="1"/>
  <c r="M8" i="1"/>
  <c r="L8" i="1"/>
  <c r="N8" i="1" s="1"/>
  <c r="O7" i="1"/>
  <c r="M7" i="1"/>
  <c r="L7" i="1"/>
  <c r="P7" i="1" s="1"/>
  <c r="O6" i="1"/>
  <c r="M6" i="1"/>
  <c r="L6" i="1"/>
  <c r="N6" i="1" s="1"/>
  <c r="O4" i="1"/>
  <c r="M4" i="1"/>
  <c r="L4" i="1"/>
  <c r="N4" i="1" s="1"/>
  <c r="O3" i="1"/>
  <c r="M3" i="1"/>
  <c r="L3" i="1"/>
  <c r="P3" i="1" s="1"/>
  <c r="M2" i="1"/>
  <c r="L2" i="1"/>
  <c r="P2" i="1" s="1"/>
  <c r="N31" i="1" l="1"/>
  <c r="N10" i="1"/>
  <c r="R10" i="1" s="1"/>
  <c r="N3" i="1"/>
  <c r="R3" i="1" s="1"/>
  <c r="P9" i="1"/>
  <c r="N11" i="1"/>
  <c r="R11" i="1" s="1"/>
  <c r="P15" i="1"/>
  <c r="N2" i="1"/>
  <c r="N20" i="1"/>
  <c r="R20" i="1" s="1"/>
  <c r="P8" i="1"/>
  <c r="P16" i="1"/>
  <c r="N17" i="1"/>
  <c r="R17" i="1" s="1"/>
  <c r="R29" i="1"/>
  <c r="Q29" i="1"/>
  <c r="R8" i="1"/>
  <c r="Q8" i="1"/>
  <c r="R9" i="1"/>
  <c r="Q9" i="1"/>
  <c r="R15" i="1"/>
  <c r="Q15" i="1"/>
  <c r="R16" i="1"/>
  <c r="Q16" i="1"/>
  <c r="R4" i="1"/>
  <c r="Q4" i="1"/>
  <c r="R14" i="1"/>
  <c r="Q14" i="1"/>
  <c r="R21" i="1"/>
  <c r="Q21" i="1"/>
  <c r="R6" i="1"/>
  <c r="Q6" i="1"/>
  <c r="P6" i="1"/>
  <c r="P14" i="1"/>
  <c r="P21" i="1"/>
  <c r="N22" i="1"/>
  <c r="P29" i="1"/>
  <c r="N24" i="1"/>
  <c r="N26" i="1"/>
  <c r="N13" i="1"/>
  <c r="N28" i="1"/>
  <c r="P4" i="1"/>
  <c r="N7" i="1"/>
  <c r="N23" i="1"/>
  <c r="N18" i="1"/>
  <c r="N25" i="1"/>
  <c r="N27" i="1"/>
  <c r="S30" i="1" l="1"/>
  <c r="Q3" i="1"/>
  <c r="Q11" i="1"/>
  <c r="S5" i="1"/>
  <c r="Q10" i="1"/>
  <c r="R2" i="1"/>
  <c r="S12" i="1"/>
  <c r="S16" i="1"/>
  <c r="S9" i="1"/>
  <c r="Q20" i="1"/>
  <c r="Q2" i="1"/>
  <c r="S31" i="1"/>
  <c r="Q17" i="1"/>
  <c r="S15" i="1"/>
  <c r="S3" i="1"/>
  <c r="R31" i="1"/>
  <c r="Q31" i="1"/>
  <c r="S17" i="1"/>
  <c r="S26" i="1"/>
  <c r="R26" i="1"/>
  <c r="Q26" i="1"/>
  <c r="S11" i="1"/>
  <c r="R7" i="1"/>
  <c r="S7" i="1"/>
  <c r="Q7" i="1"/>
  <c r="S8" i="1"/>
  <c r="S20" i="1"/>
  <c r="S14" i="1"/>
  <c r="S24" i="1"/>
  <c r="R24" i="1"/>
  <c r="Q24" i="1"/>
  <c r="S21" i="1"/>
  <c r="S27" i="1"/>
  <c r="R27" i="1"/>
  <c r="Q27" i="1"/>
  <c r="S29" i="1"/>
  <c r="S22" i="1"/>
  <c r="R22" i="1"/>
  <c r="Q22" i="1"/>
  <c r="S28" i="1"/>
  <c r="R28" i="1"/>
  <c r="Q28" i="1"/>
  <c r="R25" i="1"/>
  <c r="Q25" i="1"/>
  <c r="S25" i="1"/>
  <c r="S13" i="1"/>
  <c r="R13" i="1"/>
  <c r="Q13" i="1"/>
  <c r="Q18" i="1"/>
  <c r="S18" i="1"/>
  <c r="R18" i="1"/>
  <c r="S10" i="1"/>
  <c r="S4" i="1"/>
  <c r="S23" i="1"/>
  <c r="R23" i="1"/>
  <c r="Q23" i="1"/>
  <c r="S6" i="1"/>
  <c r="S2" i="1"/>
</calcChain>
</file>

<file path=xl/sharedStrings.xml><?xml version="1.0" encoding="utf-8"?>
<sst xmlns="http://schemas.openxmlformats.org/spreadsheetml/2006/main" count="609" uniqueCount="219">
  <si>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</si>
  <si>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</si>
  <si>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</si>
  <si>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</si>
  <si>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</si>
  <si>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</si>
  <si>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</si>
  <si>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</si>
  <si>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</si>
  <si>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</si>
  <si>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</si>
  <si>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</si>
  <si>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</si>
  <si>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</si>
  <si>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</si>
  <si>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</si>
  <si>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</si>
  <si>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</si>
  <si>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</si>
  <si>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</si>
  <si>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</si>
  <si>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</si>
  <si>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</si>
  <si>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</si>
  <si>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</si>
  <si>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</si>
  <si>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</si>
  <si>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</si>
  <si>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</si>
  <si>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</si>
  <si>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</si>
  <si>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</si>
  <si>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</si>
  <si>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</si>
  <si>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</si>
  <si>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</si>
  <si>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</si>
  <si>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</si>
  <si>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</si>
  <si>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</si>
  <si>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</si>
  <si>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</si>
  <si>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</si>
  <si>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</si>
  <si>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</si>
  <si>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</si>
  <si>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</si>
  <si>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</si>
  <si>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</si>
  <si>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</si>
  <si>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</si>
  <si>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</si>
  <si>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</si>
  <si>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</si>
  <si>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</si>
  <si>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</si>
  <si>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</si>
  <si>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</si>
  <si>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</si>
  <si>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</si>
  <si>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</si>
  <si>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</si>
  <si>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</si>
  <si>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</si>
  <si>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</si>
  <si>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</si>
  <si>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</si>
  <si>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</si>
  <si>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</si>
  <si>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</si>
  <si>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</si>
  <si>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</si>
  <si>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</si>
  <si>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</si>
  <si>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</si>
  <si>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</si>
  <si>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</si>
  <si>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</si>
  <si>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</si>
  <si>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</si>
  <si>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</si>
  <si>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</si>
  <si>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</si>
  <si>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</si>
  <si>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</si>
  <si>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</si>
  <si>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</si>
  <si>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</si>
  <si>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</si>
  <si>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</si>
  <si>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</si>
  <si>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</si>
  <si>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</si>
  <si>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</si>
  <si>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</si>
  <si>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</si>
  <si>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</si>
  <si>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</si>
  <si>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</si>
  <si>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</si>
  <si>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</si>
  <si>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</si>
  <si>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</si>
  <si>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</si>
  <si>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</si>
  <si>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</si>
  <si>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</si>
  <si>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</si>
  <si>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</si>
  <si>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</si>
  <si>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</si>
  <si>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</si>
  <si>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</si>
  <si>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</si>
  <si>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</si>
  <si>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</si>
  <si>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</si>
  <si>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</si>
  <si>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</si>
  <si>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</si>
  <si>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</si>
  <si>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</si>
  <si>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</si>
  <si>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</si>
  <si>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</si>
  <si>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</si>
  <si>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</si>
  <si>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</si>
  <si>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</si>
  <si>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</si>
  <si>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</si>
  <si>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Xtrackers MSCI World Industrials UCITS ETF 1C</t>
  </si>
  <si>
    <t>XDWI.DE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</si>
  <si>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</si>
  <si>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</si>
  <si>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</si>
  <si>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</si>
  <si>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</si>
  <si>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</si>
  <si>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</si>
  <si>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</si>
  <si>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</si>
  <si>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</si>
  <si>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</si>
  <si>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</si>
  <si>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</si>
  <si>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</si>
  <si>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</si>
  <si>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</si>
  <si>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</si>
  <si>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</si>
  <si>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</si>
  <si>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</si>
  <si>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</si>
  <si>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</si>
  <si>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</si>
  <si>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</si>
  <si>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</si>
  <si>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</si>
  <si>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</si>
  <si>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</si>
  <si>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</si>
  <si>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</si>
  <si>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</si>
  <si>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</si>
  <si>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</si>
  <si>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</si>
  <si>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</si>
  <si>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</si>
  <si>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</si>
  <si>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</si>
  <si>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</si>
  <si>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</si>
  <si>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</si>
  <si>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</si>
  <si>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</si>
  <si>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</si>
  <si>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</si>
  <si>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</si>
  <si>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</si>
  <si>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</si>
  <si>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</si>
  <si>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</si>
  <si>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</si>
  <si>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</si>
  <si>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</si>
  <si>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</si>
  <si>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</si>
  <si>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</si>
  <si>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</si>
  <si>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</si>
  <si>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</si>
  <si>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</si>
  <si>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</si>
  <si>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</si>
  <si>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Status</t>
  </si>
  <si>
    <t>Target_Buy</t>
  </si>
  <si>
    <t>Max_Price</t>
  </si>
  <si>
    <t>AI_Confidence</t>
  </si>
  <si>
    <t>Amount</t>
  </si>
  <si>
    <t>FX_to_DKK</t>
  </si>
  <si>
    <t>Amount_DKK</t>
  </si>
  <si>
    <t>iShares Edge MSCI World Quality Factor UCITS ETF</t>
  </si>
  <si>
    <t>IS3Q:XETR</t>
  </si>
  <si>
    <t>IS3Q.DE</t>
  </si>
  <si>
    <t>A029</t>
  </si>
  <si>
    <t>ServiceNow Inc</t>
  </si>
  <si>
    <t>4S0.DE</t>
  </si>
  <si>
    <t>4S0:XETR</t>
  </si>
  <si>
    <t>4COP.DE</t>
  </si>
  <si>
    <t>Astera Labs</t>
  </si>
  <si>
    <t>ALAB</t>
  </si>
  <si>
    <t>64B.DE</t>
  </si>
  <si>
    <t>CLS</t>
  </si>
  <si>
    <t>Part of SEC0 0,49%</t>
  </si>
  <si>
    <t>CLS:XNYS</t>
  </si>
  <si>
    <t>Celestica Inc.</t>
  </si>
  <si>
    <t>Vanguard FTSE All-World High Dvd Yield UCITS ETF</t>
  </si>
  <si>
    <t>VGWD.DE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</si>
</sst>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6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31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32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2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3" tint="0.499984740745262"/>
  </sheetPr>
  <dimension ref="A1:AB31"/>
  <sheetViews>
    <sheetView tabSelected="1" zoomScale="80" zoomScaleNormal="80" workbookViewId="0">
      <selection activeCell="I11" sqref="I11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47</v>
      </c>
      <c r="H2" s="8">
        <v>858.39</v>
      </c>
      <c r="I2" s="6" t="s">
        <v>33</v>
      </c>
      <c r="J2" s="9"/>
      <c r="K2" s="8">
        <v>974</v>
      </c>
      <c r="L2" s="13" t="str">
        <f ca="1">IF(I2="DKK",1,IFERROR(_xludf.XLOOKUP(I2,FX!$A$2:$A$20,FX!$B$2:$B$20,""),""))</f>
        <v/>
      </c>
      <c r="M2" s="11">
        <f t="shared" ref="M2:M31" si="0">IFERROR(G2*H2*J2,"")</f>
        <v>0</v>
      </c>
      <c r="N2" s="11" t="str">
        <f t="shared" ref="N2:N29" ca="1" si="1">IFERROR(G2*K2*L2,"")</f>
        <v/>
      </c>
      <c r="O2" s="12">
        <f>IFERROR(K2/H2-1,"")</f>
        <v>0.13468237048427878</v>
      </c>
      <c r="P2" s="12" t="str">
        <f t="shared" ref="P2:P31" ca="1" si="2">IFERROR(L2/J2-1,"")</f>
        <v/>
      </c>
      <c r="Q2" s="11" t="str">
        <f t="shared" ref="Q2:Q31" ca="1" si="3">IFERROR(N2-M2,"")</f>
        <v/>
      </c>
      <c r="R2" s="12" t="str">
        <f t="shared" ref="R2:R31" ca="1" si="4">IFERROR(N2/M2-1,"")</f>
        <v/>
      </c>
      <c r="S2" s="12">
        <f t="shared" ref="S2:S18" ca="1" si="5">IF(W2=TRUE,IFERROR(N2/SUMIFS($N$2:$N$502,$W$2:$W$502,TRUE),0),0)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64</v>
      </c>
      <c r="H3" s="8">
        <v>493.03</v>
      </c>
      <c r="I3" s="6" t="s">
        <v>42</v>
      </c>
      <c r="J3" s="9">
        <v>1</v>
      </c>
      <c r="K3" s="8">
        <v>637.5</v>
      </c>
      <c r="L3" s="13">
        <f>IF(I3="DKK",1,IFERROR(_xludf.XLOOKUP(I3,FX!$A$2:$A$20,FX!$B$2:$B$20,""),""))</f>
        <v>1</v>
      </c>
      <c r="M3" s="11">
        <f t="shared" si="0"/>
        <v>31553.919999999998</v>
      </c>
      <c r="N3" s="11">
        <f t="shared" si="1"/>
        <v>40800</v>
      </c>
      <c r="O3" s="12">
        <f t="shared" ref="O3:O31" si="6">IFERROR(K3/H3-1,"")</f>
        <v>0.29302476522726817</v>
      </c>
      <c r="P3" s="12">
        <f t="shared" si="2"/>
        <v>0</v>
      </c>
      <c r="Q3" s="11">
        <f t="shared" si="3"/>
        <v>9246.0800000000017</v>
      </c>
      <c r="R3" s="12">
        <f t="shared" si="4"/>
        <v>0.29302476522726817</v>
      </c>
      <c r="S3" s="12">
        <f t="shared" ca="1" si="5"/>
        <v>5.6626512963620028E-2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6</v>
      </c>
      <c r="H4" s="8">
        <v>1080.49</v>
      </c>
      <c r="I4" s="6" t="s">
        <v>48</v>
      </c>
      <c r="J4" s="9"/>
      <c r="K4" s="8">
        <v>1497.8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6"/>
        <v>0.38622291738007752</v>
      </c>
      <c r="P4" s="12" t="str">
        <f t="shared" ca="1" si="2"/>
        <v/>
      </c>
      <c r="Q4" s="11" t="str">
        <f t="shared" ca="1" si="3"/>
        <v/>
      </c>
      <c r="R4" s="12" t="str">
        <f t="shared" ca="1" si="4"/>
        <v/>
      </c>
      <c r="S4" s="12">
        <f t="shared" ca="1" si="5"/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216</v>
      </c>
      <c r="D5" s="6" t="s">
        <v>215</v>
      </c>
      <c r="E5" s="6" t="s">
        <v>213</v>
      </c>
      <c r="F5" s="6"/>
      <c r="G5" s="7">
        <v>2</v>
      </c>
      <c r="H5" s="8">
        <v>316.97000000000003</v>
      </c>
      <c r="I5" s="6" t="s">
        <v>57</v>
      </c>
      <c r="J5" s="9"/>
      <c r="K5" s="8">
        <v>316.23</v>
      </c>
      <c r="L5" s="13"/>
      <c r="M5" s="11"/>
      <c r="N5" s="11"/>
      <c r="O5" s="12">
        <f t="shared" ref="O5" si="7">IFERROR(K5/H5-1,"")</f>
        <v>-2.3346057986560753E-3</v>
      </c>
      <c r="P5" s="12" t="str">
        <f t="shared" ref="P5" si="8">IFERROR(L5/J5-1,"")</f>
        <v/>
      </c>
      <c r="Q5" s="11">
        <f t="shared" ref="Q5" si="9">IFERROR(N5-M5,"")</f>
        <v>0</v>
      </c>
      <c r="R5" s="12" t="str">
        <f t="shared" ref="R5" si="10">IFERROR(N5/M5-1,"")</f>
        <v/>
      </c>
      <c r="S5" s="12">
        <f t="shared" ca="1" si="5"/>
        <v>0</v>
      </c>
      <c r="T5" s="6" t="s">
        <v>49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50</v>
      </c>
      <c r="B6" s="6" t="s">
        <v>29</v>
      </c>
      <c r="C6" s="14" t="s">
        <v>51</v>
      </c>
      <c r="D6" s="6" t="s">
        <v>52</v>
      </c>
      <c r="E6" s="6" t="s">
        <v>53</v>
      </c>
      <c r="F6" s="6"/>
      <c r="G6" s="7">
        <v>125</v>
      </c>
      <c r="H6" s="8">
        <v>212.15</v>
      </c>
      <c r="I6" s="6" t="s">
        <v>42</v>
      </c>
      <c r="J6" s="9">
        <v>1</v>
      </c>
      <c r="K6" s="8">
        <v>377.4</v>
      </c>
      <c r="L6" s="13">
        <f>IF(I6="DKK",1,IFERROR(_xludf.XLOOKUP(I6,FX!$A$2:$A$20,FX!$B$2:$B$20,""),""))</f>
        <v>1</v>
      </c>
      <c r="M6" s="11">
        <f t="shared" si="0"/>
        <v>26518.75</v>
      </c>
      <c r="N6" s="11">
        <f t="shared" si="1"/>
        <v>47175</v>
      </c>
      <c r="O6" s="12">
        <f t="shared" si="6"/>
        <v>0.77893000235682286</v>
      </c>
      <c r="P6" s="12">
        <f t="shared" si="2"/>
        <v>0</v>
      </c>
      <c r="Q6" s="11">
        <f t="shared" si="3"/>
        <v>20656.25</v>
      </c>
      <c r="R6" s="12">
        <f t="shared" si="4"/>
        <v>0.77893000235682308</v>
      </c>
      <c r="S6" s="12">
        <f t="shared" ca="1" si="5"/>
        <v>6.547440561418566E-2</v>
      </c>
      <c r="T6" s="6" t="s">
        <v>43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54</v>
      </c>
      <c r="B7" s="6" t="s">
        <v>29</v>
      </c>
      <c r="C7" s="14" t="s">
        <v>55</v>
      </c>
      <c r="D7" s="6" t="s">
        <v>56</v>
      </c>
      <c r="E7" s="6" t="s">
        <v>56</v>
      </c>
      <c r="F7" s="6"/>
      <c r="G7" s="7">
        <v>98</v>
      </c>
      <c r="H7" s="8">
        <v>45.47</v>
      </c>
      <c r="I7" s="6" t="s">
        <v>57</v>
      </c>
      <c r="J7" s="9"/>
      <c r="K7" s="8">
        <v>40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6"/>
        <v>-0.1202990983065757</v>
      </c>
      <c r="P7" s="12" t="str">
        <f t="shared" ca="1" si="2"/>
        <v/>
      </c>
      <c r="Q7" s="11" t="str">
        <f t="shared" ca="1" si="3"/>
        <v/>
      </c>
      <c r="R7" s="12" t="str">
        <f t="shared" ca="1" si="4"/>
        <v/>
      </c>
      <c r="S7" s="12">
        <f t="shared" ca="1" si="5"/>
        <v>0</v>
      </c>
      <c r="T7" s="6" t="s">
        <v>58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59</v>
      </c>
      <c r="B8" s="6" t="s">
        <v>29</v>
      </c>
      <c r="C8" s="14" t="s">
        <v>60</v>
      </c>
      <c r="D8" s="6" t="s">
        <v>61</v>
      </c>
      <c r="E8" s="6" t="s">
        <v>62</v>
      </c>
      <c r="F8" s="6"/>
      <c r="G8" s="7">
        <v>16</v>
      </c>
      <c r="H8" s="8">
        <v>394.77</v>
      </c>
      <c r="I8" s="6" t="s">
        <v>48</v>
      </c>
      <c r="J8" s="9"/>
      <c r="K8" s="8">
        <v>425</v>
      </c>
      <c r="L8" s="13" t="str">
        <f ca="1">IF(I8="DKK",1,IFERROR(_xludf.XLOOKUP(I8,FX!$A$2:$A$20,FX!$B$2:$B$20,""),""))</f>
        <v/>
      </c>
      <c r="M8" s="11">
        <f t="shared" si="0"/>
        <v>0</v>
      </c>
      <c r="N8" s="11" t="str">
        <f t="shared" ca="1" si="1"/>
        <v/>
      </c>
      <c r="O8" s="12">
        <f t="shared" si="6"/>
        <v>7.6576234262988541E-2</v>
      </c>
      <c r="P8" s="12" t="str">
        <f t="shared" ca="1" si="2"/>
        <v/>
      </c>
      <c r="Q8" s="11" t="str">
        <f t="shared" ca="1" si="3"/>
        <v/>
      </c>
      <c r="R8" s="12" t="str">
        <f t="shared" ca="1" si="4"/>
        <v/>
      </c>
      <c r="S8" s="12">
        <f t="shared" ca="1" si="5"/>
        <v>0</v>
      </c>
      <c r="T8" s="6" t="s">
        <v>49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63</v>
      </c>
      <c r="B9" s="6" t="s">
        <v>29</v>
      </c>
      <c r="C9" s="14" t="s">
        <v>64</v>
      </c>
      <c r="D9" s="6" t="s">
        <v>65</v>
      </c>
      <c r="E9" s="6" t="s">
        <v>65</v>
      </c>
      <c r="F9" s="6"/>
      <c r="G9" s="7">
        <v>63</v>
      </c>
      <c r="H9" s="8">
        <v>405.68</v>
      </c>
      <c r="I9" s="6" t="s">
        <v>42</v>
      </c>
      <c r="J9" s="9">
        <v>1</v>
      </c>
      <c r="K9" s="8">
        <v>910</v>
      </c>
      <c r="L9" s="13">
        <f>IF(I9="DKK",1,IFERROR(_xludf.XLOOKUP(I9,FX!$A$2:$A$20,FX!$B$2:$B$20,""),""))</f>
        <v>1</v>
      </c>
      <c r="M9" s="11">
        <f t="shared" si="0"/>
        <v>25557.84</v>
      </c>
      <c r="N9" s="11">
        <f t="shared" si="1"/>
        <v>57330</v>
      </c>
      <c r="O9" s="12">
        <f t="shared" si="6"/>
        <v>1.2431473082232301</v>
      </c>
      <c r="P9" s="12">
        <f t="shared" si="2"/>
        <v>0</v>
      </c>
      <c r="Q9" s="11">
        <f t="shared" si="3"/>
        <v>31772.16</v>
      </c>
      <c r="R9" s="12">
        <f t="shared" si="4"/>
        <v>1.2431473082232301</v>
      </c>
      <c r="S9" s="12">
        <f t="shared" ca="1" si="5"/>
        <v>7.9568578142263147E-2</v>
      </c>
      <c r="T9" s="6" t="s">
        <v>58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66</v>
      </c>
      <c r="B10" s="6" t="s">
        <v>29</v>
      </c>
      <c r="C10" s="14" t="s">
        <v>67</v>
      </c>
      <c r="D10" s="6" t="s">
        <v>68</v>
      </c>
      <c r="E10" s="6" t="s">
        <v>68</v>
      </c>
      <c r="F10" s="6"/>
      <c r="G10" s="7">
        <v>336</v>
      </c>
      <c r="H10" s="8">
        <v>443</v>
      </c>
      <c r="I10" s="6" t="s">
        <v>42</v>
      </c>
      <c r="J10" s="9">
        <v>1</v>
      </c>
      <c r="K10" s="8">
        <v>298</v>
      </c>
      <c r="L10" s="13">
        <f>IF(I10="DKK",1,IFERROR(_xludf.XLOOKUP(I10,FX!$A$2:$A$20,FX!$B$2:$B$20,""),""))</f>
        <v>1</v>
      </c>
      <c r="M10" s="11">
        <f t="shared" si="0"/>
        <v>148848</v>
      </c>
      <c r="N10" s="11">
        <f t="shared" si="1"/>
        <v>100128</v>
      </c>
      <c r="O10" s="12">
        <f t="shared" si="6"/>
        <v>-0.32731376975169302</v>
      </c>
      <c r="P10" s="12">
        <f t="shared" si="2"/>
        <v>0</v>
      </c>
      <c r="Q10" s="11">
        <f t="shared" si="3"/>
        <v>-48720</v>
      </c>
      <c r="R10" s="12">
        <f t="shared" si="4"/>
        <v>-0.32731376975169302</v>
      </c>
      <c r="S10" s="12">
        <f t="shared" ca="1" si="5"/>
        <v>0.13896812475542517</v>
      </c>
      <c r="T10" s="6" t="s">
        <v>69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70</v>
      </c>
      <c r="B11" s="6" t="s">
        <v>29</v>
      </c>
      <c r="C11" s="14" t="s">
        <v>71</v>
      </c>
      <c r="D11" s="6" t="s">
        <v>72</v>
      </c>
      <c r="E11" s="6" t="s">
        <v>73</v>
      </c>
      <c r="F11" s="6"/>
      <c r="G11" s="7">
        <v>23</v>
      </c>
      <c r="H11" s="8">
        <v>649.4</v>
      </c>
      <c r="I11" s="6" t="s">
        <v>42</v>
      </c>
      <c r="J11" s="9">
        <v>1</v>
      </c>
      <c r="K11" s="8">
        <v>846.8</v>
      </c>
      <c r="L11" s="13">
        <f>IF(I11="DKK",1,IFERROR(_xludf.XLOOKUP(I11,FX!$A$2:$A$20,FX!$B$2:$B$20,""),""))</f>
        <v>1</v>
      </c>
      <c r="M11" s="11">
        <f t="shared" si="0"/>
        <v>14936.199999999999</v>
      </c>
      <c r="N11" s="11">
        <f t="shared" si="1"/>
        <v>19476.399999999998</v>
      </c>
      <c r="O11" s="12">
        <f t="shared" si="6"/>
        <v>0.30397289805974737</v>
      </c>
      <c r="P11" s="12">
        <f t="shared" si="2"/>
        <v>0</v>
      </c>
      <c r="Q11" s="11">
        <f t="shared" si="3"/>
        <v>4540.1999999999989</v>
      </c>
      <c r="R11" s="12">
        <f t="shared" si="4"/>
        <v>0.30397289805974737</v>
      </c>
      <c r="S11" s="12">
        <f t="shared" ca="1" si="5"/>
        <v>2.7031387673643357E-2</v>
      </c>
      <c r="T11" s="6" t="s">
        <v>74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75</v>
      </c>
      <c r="B12" s="6" t="s">
        <v>29</v>
      </c>
      <c r="C12" s="14" t="s">
        <v>206</v>
      </c>
      <c r="D12" s="6" t="s">
        <v>208</v>
      </c>
      <c r="E12" s="6" t="s">
        <v>207</v>
      </c>
      <c r="F12" s="6"/>
      <c r="G12" s="7">
        <v>10</v>
      </c>
      <c r="H12" s="8">
        <v>110.64</v>
      </c>
      <c r="I12" s="6" t="s">
        <v>48</v>
      </c>
      <c r="J12" s="9"/>
      <c r="K12" s="8">
        <v>110.8</v>
      </c>
      <c r="L12" s="13"/>
      <c r="M12" s="11"/>
      <c r="N12" s="11"/>
      <c r="O12" s="12">
        <f>IFERROR(K12/H12-1,"")</f>
        <v>1.4461315979754641E-3</v>
      </c>
      <c r="P12" s="12" t="str">
        <f>IFERROR(L12/J12-1,"")</f>
        <v/>
      </c>
      <c r="Q12" s="11">
        <f>IFERROR(N12-M12,"")</f>
        <v>0</v>
      </c>
      <c r="R12" s="12" t="str">
        <f>IFERROR(N12/M12-1,"")</f>
        <v/>
      </c>
      <c r="S12" s="12">
        <f t="shared" ca="1" si="5"/>
        <v>0</v>
      </c>
      <c r="T12" s="6" t="s">
        <v>49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79</v>
      </c>
      <c r="B13" s="6" t="s">
        <v>29</v>
      </c>
      <c r="C13" s="14" t="s">
        <v>76</v>
      </c>
      <c r="D13" s="6" t="s">
        <v>77</v>
      </c>
      <c r="E13" s="6" t="s">
        <v>78</v>
      </c>
      <c r="F13" s="6"/>
      <c r="G13" s="7">
        <v>15</v>
      </c>
      <c r="H13" s="8">
        <v>139.62</v>
      </c>
      <c r="I13" s="6" t="s">
        <v>48</v>
      </c>
      <c r="J13" s="9"/>
      <c r="K13" s="8">
        <v>157.72</v>
      </c>
      <c r="L13" s="13" t="str">
        <f ca="1">IF(I13="DKK",1,IFERROR(_xludf.XLOOKUP(I13,FX!$A$2:$A$20,FX!$B$2:$B$20,""),""))</f>
        <v/>
      </c>
      <c r="M13" s="11">
        <f t="shared" si="0"/>
        <v>0</v>
      </c>
      <c r="N13" s="11" t="str">
        <f t="shared" ca="1" si="1"/>
        <v/>
      </c>
      <c r="O13" s="12">
        <f t="shared" si="6"/>
        <v>0.12963758773814638</v>
      </c>
      <c r="P13" s="12" t="str">
        <f t="shared" ca="1" si="2"/>
        <v/>
      </c>
      <c r="Q13" s="11" t="str">
        <f t="shared" ca="1" si="3"/>
        <v/>
      </c>
      <c r="R13" s="12" t="str">
        <f t="shared" ca="1" si="4"/>
        <v/>
      </c>
      <c r="S13" s="12">
        <f t="shared" ca="1" si="5"/>
        <v>0</v>
      </c>
      <c r="T13" s="6" t="s">
        <v>34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83</v>
      </c>
      <c r="B14" s="6" t="s">
        <v>29</v>
      </c>
      <c r="C14" s="14" t="s">
        <v>80</v>
      </c>
      <c r="D14" s="6" t="s">
        <v>81</v>
      </c>
      <c r="E14" s="6" t="s">
        <v>82</v>
      </c>
      <c r="F14" s="6"/>
      <c r="G14" s="7">
        <v>14</v>
      </c>
      <c r="H14" s="8">
        <v>414.7</v>
      </c>
      <c r="I14" s="6" t="s">
        <v>57</v>
      </c>
      <c r="J14" s="9"/>
      <c r="K14" s="8">
        <v>418</v>
      </c>
      <c r="L14" s="13" t="str">
        <f ca="1">IF(I14="DKK",1,IFERROR(_xludf.XLOOKUP(I14,FX!$A$2:$A$20,FX!$B$2:$B$20,""),""))</f>
        <v/>
      </c>
      <c r="M14" s="11">
        <f t="shared" si="0"/>
        <v>0</v>
      </c>
      <c r="N14" s="11" t="str">
        <f t="shared" ca="1" si="1"/>
        <v/>
      </c>
      <c r="O14" s="12">
        <f t="shared" si="6"/>
        <v>7.9575596816976457E-3</v>
      </c>
      <c r="P14" s="12" t="str">
        <f t="shared" ca="1" si="2"/>
        <v/>
      </c>
      <c r="Q14" s="11" t="str">
        <f t="shared" ca="1" si="3"/>
        <v/>
      </c>
      <c r="R14" s="12" t="str">
        <f t="shared" ca="1" si="4"/>
        <v/>
      </c>
      <c r="S14" s="12">
        <f t="shared" ca="1" si="5"/>
        <v>0</v>
      </c>
      <c r="T14" s="6" t="s">
        <v>49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/>
      <c r="AB14" s="14"/>
    </row>
    <row r="15" spans="1:28">
      <c r="A15" s="6" t="s">
        <v>86</v>
      </c>
      <c r="B15" s="6" t="s">
        <v>29</v>
      </c>
      <c r="C15" s="14" t="s">
        <v>87</v>
      </c>
      <c r="D15" s="6" t="s">
        <v>88</v>
      </c>
      <c r="E15" s="6" t="s">
        <v>89</v>
      </c>
      <c r="F15" s="6"/>
      <c r="G15" s="7">
        <v>133</v>
      </c>
      <c r="H15" s="8">
        <v>155.74</v>
      </c>
      <c r="I15" s="6" t="s">
        <v>42</v>
      </c>
      <c r="J15" s="9">
        <v>1</v>
      </c>
      <c r="K15" s="8">
        <v>176.55</v>
      </c>
      <c r="L15" s="13">
        <f>IF(I15="DKK",1,IFERROR(_xludf.XLOOKUP(I15,FX!$A$2:$A$20,FX!$B$2:$B$20,""),""))</f>
        <v>1</v>
      </c>
      <c r="M15" s="11">
        <f>IFERROR(G15*H15*J15,"")</f>
        <v>20713.420000000002</v>
      </c>
      <c r="N15" s="11">
        <f t="shared" si="1"/>
        <v>23481.15</v>
      </c>
      <c r="O15" s="12">
        <f t="shared" si="6"/>
        <v>0.13362013612430967</v>
      </c>
      <c r="P15" s="12">
        <f t="shared" si="2"/>
        <v>0</v>
      </c>
      <c r="Q15" s="11">
        <f t="shared" si="3"/>
        <v>2767.7299999999996</v>
      </c>
      <c r="R15" s="12">
        <f t="shared" si="4"/>
        <v>0.13362013612430967</v>
      </c>
      <c r="S15" s="12">
        <f t="shared" ca="1" si="5"/>
        <v>3.2589599139110456E-2</v>
      </c>
      <c r="T15" s="6" t="s">
        <v>90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/>
      <c r="AB15" s="14"/>
    </row>
    <row r="16" spans="1:28">
      <c r="A16" s="6" t="s">
        <v>91</v>
      </c>
      <c r="B16" s="6" t="s">
        <v>92</v>
      </c>
      <c r="C16" s="14" t="s">
        <v>93</v>
      </c>
      <c r="D16" s="6" t="s">
        <v>209</v>
      </c>
      <c r="E16" s="6" t="s">
        <v>209</v>
      </c>
      <c r="F16" s="6"/>
      <c r="G16" s="7">
        <v>27</v>
      </c>
      <c r="H16" s="8">
        <v>57.93</v>
      </c>
      <c r="I16" s="6" t="s">
        <v>57</v>
      </c>
      <c r="J16" s="9"/>
      <c r="K16" s="8">
        <v>58</v>
      </c>
      <c r="L16" s="13" t="str">
        <f ca="1">IF(I16="DKK",1,IFERROR(_xludf.XLOOKUP(I16,FX!$A$2:$A$20,FX!$B$2:$B$20,""),""))</f>
        <v/>
      </c>
      <c r="M16" s="11">
        <f t="shared" si="0"/>
        <v>0</v>
      </c>
      <c r="N16" s="11" t="str">
        <f t="shared" ca="1" si="1"/>
        <v/>
      </c>
      <c r="O16" s="12">
        <f t="shared" si="6"/>
        <v>1.2083549110997183E-3</v>
      </c>
      <c r="P16" s="12" t="str">
        <f t="shared" ca="1" si="2"/>
        <v/>
      </c>
      <c r="Q16" s="11" t="str">
        <f t="shared" ca="1" si="3"/>
        <v/>
      </c>
      <c r="R16" s="12" t="str">
        <f t="shared" ca="1" si="4"/>
        <v/>
      </c>
      <c r="S16" s="12">
        <f t="shared" ca="1" si="5"/>
        <v>0</v>
      </c>
      <c r="T16" s="6" t="s">
        <v>94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 t="s">
        <v>95</v>
      </c>
      <c r="AB16" s="14"/>
    </row>
    <row r="17" spans="1:28">
      <c r="A17" s="6" t="s">
        <v>96</v>
      </c>
      <c r="B17" s="6" t="s">
        <v>92</v>
      </c>
      <c r="C17" s="14" t="s">
        <v>97</v>
      </c>
      <c r="D17" s="6" t="s">
        <v>98</v>
      </c>
      <c r="E17" s="6" t="s">
        <v>98</v>
      </c>
      <c r="F17" s="6"/>
      <c r="G17" s="7">
        <v>39</v>
      </c>
      <c r="H17" s="8">
        <v>46.039000000000001</v>
      </c>
      <c r="I17" s="6" t="s">
        <v>48</v>
      </c>
      <c r="J17" s="9"/>
      <c r="K17" s="8">
        <v>48</v>
      </c>
      <c r="L17" s="13" t="str">
        <f ca="1">IF(I17="DKK",1,IFERROR(_xludf.XLOOKUP(I17,FX!$A$2:$A$20,FX!$B$2:$B$20,""),""))</f>
        <v/>
      </c>
      <c r="M17" s="11">
        <f t="shared" si="0"/>
        <v>0</v>
      </c>
      <c r="N17" s="11" t="str">
        <f t="shared" ca="1" si="1"/>
        <v/>
      </c>
      <c r="O17" s="12">
        <f t="shared" si="6"/>
        <v>4.2594322205086854E-2</v>
      </c>
      <c r="P17" s="12" t="str">
        <f t="shared" ca="1" si="2"/>
        <v/>
      </c>
      <c r="Q17" s="11" t="str">
        <f t="shared" ca="1" si="3"/>
        <v/>
      </c>
      <c r="R17" s="12" t="str">
        <f t="shared" ca="1" si="4"/>
        <v/>
      </c>
      <c r="S17" s="12">
        <f t="shared" ca="1" si="5"/>
        <v>0</v>
      </c>
      <c r="T17" s="6" t="s">
        <v>34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99</v>
      </c>
      <c r="B18" s="6" t="s">
        <v>92</v>
      </c>
      <c r="C18" s="14" t="s">
        <v>100</v>
      </c>
      <c r="D18" s="6" t="s">
        <v>101</v>
      </c>
      <c r="E18" s="6" t="s">
        <v>101</v>
      </c>
      <c r="F18" s="6"/>
      <c r="G18" s="7">
        <v>52</v>
      </c>
      <c r="H18" s="8">
        <v>28.96</v>
      </c>
      <c r="I18" s="6" t="s">
        <v>48</v>
      </c>
      <c r="J18" s="9"/>
      <c r="K18" s="8">
        <v>23</v>
      </c>
      <c r="L18" s="13" t="str">
        <f ca="1">IF(I18="DKK",1,IFERROR(_xludf.XLOOKUP(I18,FX!$A$2:$A$20,FX!$B$2:$B$20,""),""))</f>
        <v/>
      </c>
      <c r="M18" s="11">
        <f>IFERROR(G18*H18*J18,"")</f>
        <v>0</v>
      </c>
      <c r="N18" s="11" t="str">
        <f ca="1">IFERROR(G18*K18*L18,"")</f>
        <v/>
      </c>
      <c r="O18" s="12">
        <f>IFERROR(K18/H18-1,"")</f>
        <v>-0.20580110497237569</v>
      </c>
      <c r="P18" s="12" t="str">
        <f ca="1">IFERROR(L18/J18-1,"")</f>
        <v/>
      </c>
      <c r="Q18" s="11" t="str">
        <f ca="1">IFERROR(N18-M18,"")</f>
        <v/>
      </c>
      <c r="R18" s="12" t="str">
        <f ca="1">IFERROR(N18/M18-1,"")</f>
        <v/>
      </c>
      <c r="S18" s="12">
        <f t="shared" ca="1" si="5"/>
        <v>0</v>
      </c>
      <c r="T18" s="6" t="s">
        <v>90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102</v>
      </c>
      <c r="B19" s="6" t="s">
        <v>92</v>
      </c>
      <c r="C19" s="14" t="s">
        <v>202</v>
      </c>
      <c r="D19" s="6" t="s">
        <v>203</v>
      </c>
      <c r="E19" s="6" t="s">
        <v>204</v>
      </c>
      <c r="F19" s="6"/>
      <c r="G19" s="7">
        <v>50</v>
      </c>
      <c r="H19" s="8">
        <v>80.14</v>
      </c>
      <c r="I19" s="6" t="s">
        <v>48</v>
      </c>
      <c r="J19" s="9"/>
      <c r="K19" s="8">
        <v>79</v>
      </c>
      <c r="L19" s="13"/>
      <c r="M19" s="11"/>
      <c r="N19" s="11"/>
      <c r="O19" s="12">
        <f t="shared" si="6"/>
        <v>-1.4225106064387316E-2</v>
      </c>
      <c r="P19" s="12"/>
      <c r="Q19" s="11"/>
      <c r="R19" s="12"/>
      <c r="S19" s="12"/>
      <c r="T19" s="6" t="s">
        <v>136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105</v>
      </c>
      <c r="B20" s="6" t="s">
        <v>92</v>
      </c>
      <c r="C20" s="14" t="s">
        <v>103</v>
      </c>
      <c r="D20" s="6" t="s">
        <v>104</v>
      </c>
      <c r="E20" s="6" t="s">
        <v>104</v>
      </c>
      <c r="F20" s="6"/>
      <c r="G20" s="7">
        <v>185</v>
      </c>
      <c r="H20" s="8">
        <v>10.62</v>
      </c>
      <c r="I20" s="6" t="s">
        <v>48</v>
      </c>
      <c r="J20" s="9"/>
      <c r="K20" s="8">
        <v>9.3000000000000007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6"/>
        <v>-0.12429378531073432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t="shared" ref="S20:S31" ca="1" si="11">IF(W20=TRUE,IFERROR(N20/SUMIFS($N$2:$N$502,$W$2:$W$502,TRUE),0),0)</f>
        <v>0</v>
      </c>
      <c r="T20" s="6" t="s">
        <v>90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108</v>
      </c>
      <c r="B21" s="6" t="s">
        <v>92</v>
      </c>
      <c r="C21" s="14" t="s">
        <v>106</v>
      </c>
      <c r="D21" s="6" t="s">
        <v>107</v>
      </c>
      <c r="E21" s="6" t="s">
        <v>107</v>
      </c>
      <c r="F21" s="6"/>
      <c r="G21" s="7">
        <v>363</v>
      </c>
      <c r="H21" s="8">
        <v>10</v>
      </c>
      <c r="I21" s="6" t="s">
        <v>48</v>
      </c>
      <c r="J21" s="9"/>
      <c r="K21" s="8">
        <v>17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6"/>
        <v>0.7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t="shared" ca="1" si="11"/>
        <v>0</v>
      </c>
      <c r="T21" s="6" t="s">
        <v>49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109</v>
      </c>
      <c r="B22" s="6" t="s">
        <v>92</v>
      </c>
      <c r="C22" s="14" t="s">
        <v>110</v>
      </c>
      <c r="D22" s="6" t="s">
        <v>111</v>
      </c>
      <c r="E22" s="6" t="s">
        <v>111</v>
      </c>
      <c r="F22" s="6"/>
      <c r="G22" s="7">
        <v>262</v>
      </c>
      <c r="H22" s="8">
        <v>8.89</v>
      </c>
      <c r="I22" s="6" t="s">
        <v>48</v>
      </c>
      <c r="J22" s="9"/>
      <c r="K22" s="8">
        <v>8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6"/>
        <v>-0.1001124859392577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t="shared" ca="1" si="11"/>
        <v>0</v>
      </c>
      <c r="T22" s="6" t="s">
        <v>112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113</v>
      </c>
      <c r="B23" s="6" t="s">
        <v>92</v>
      </c>
      <c r="C23" s="14" t="s">
        <v>114</v>
      </c>
      <c r="D23" s="6" t="s">
        <v>115</v>
      </c>
      <c r="E23" s="6" t="s">
        <v>115</v>
      </c>
      <c r="F23" s="6"/>
      <c r="G23" s="7">
        <v>44</v>
      </c>
      <c r="H23" s="8">
        <v>56.9</v>
      </c>
      <c r="I23" s="6" t="s">
        <v>48</v>
      </c>
      <c r="J23" s="9"/>
      <c r="K23" s="8">
        <v>56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6"/>
        <v>-1.5817223198594021E-2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t="shared" ca="1" si="11"/>
        <v>0</v>
      </c>
      <c r="T23" s="6" t="s">
        <v>116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117</v>
      </c>
      <c r="B24" s="6" t="s">
        <v>92</v>
      </c>
      <c r="C24" s="14" t="s">
        <v>118</v>
      </c>
      <c r="D24" s="6" t="s">
        <v>119</v>
      </c>
      <c r="E24" s="6" t="s">
        <v>119</v>
      </c>
      <c r="F24" s="6"/>
      <c r="G24" s="7">
        <v>47</v>
      </c>
      <c r="H24" s="8">
        <v>28.1</v>
      </c>
      <c r="I24" s="6" t="s">
        <v>48</v>
      </c>
      <c r="J24" s="9"/>
      <c r="K24" s="8">
        <v>26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6"/>
        <v>-7.4733096085409345E-2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t="shared" ca="1" si="11"/>
        <v>0</v>
      </c>
      <c r="T24" s="6" t="s">
        <v>49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120</v>
      </c>
      <c r="B25" s="6" t="s">
        <v>92</v>
      </c>
      <c r="C25" s="14" t="s">
        <v>121</v>
      </c>
      <c r="D25" s="6" t="s">
        <v>122</v>
      </c>
      <c r="E25" s="6" t="s">
        <v>122</v>
      </c>
      <c r="F25" s="6"/>
      <c r="G25" s="7">
        <v>161</v>
      </c>
      <c r="H25" s="8">
        <v>16.59</v>
      </c>
      <c r="I25" s="6" t="s">
        <v>48</v>
      </c>
      <c r="J25" s="9"/>
      <c r="K25" s="8">
        <v>12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6"/>
        <v>-0.27667269439421338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t="shared" ca="1" si="11"/>
        <v>0</v>
      </c>
      <c r="T25" s="6" t="s">
        <v>94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123</v>
      </c>
      <c r="B26" s="6" t="s">
        <v>92</v>
      </c>
      <c r="C26" s="14" t="s">
        <v>124</v>
      </c>
      <c r="D26" s="6" t="s">
        <v>125</v>
      </c>
      <c r="E26" s="6" t="s">
        <v>125</v>
      </c>
      <c r="F26" s="6"/>
      <c r="G26" s="7">
        <v>16</v>
      </c>
      <c r="H26" s="8">
        <v>58.1</v>
      </c>
      <c r="I26" s="6" t="s">
        <v>48</v>
      </c>
      <c r="J26" s="9"/>
      <c r="K26" s="8">
        <v>54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6"/>
        <v>-7.056798623063687E-2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t="shared" ca="1" si="11"/>
        <v>0</v>
      </c>
      <c r="T26" s="6" t="s">
        <v>94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126</v>
      </c>
      <c r="B27" s="6" t="s">
        <v>92</v>
      </c>
      <c r="C27" s="14" t="s">
        <v>127</v>
      </c>
      <c r="D27" s="6" t="s">
        <v>128</v>
      </c>
      <c r="E27" s="6" t="s">
        <v>128</v>
      </c>
      <c r="F27" s="6"/>
      <c r="G27" s="7">
        <v>15</v>
      </c>
      <c r="H27" s="8">
        <v>95.08</v>
      </c>
      <c r="I27" s="6" t="s">
        <v>48</v>
      </c>
      <c r="J27" s="9"/>
      <c r="K27" s="8">
        <v>75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6"/>
        <v>-0.2111905763567522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t="shared" ca="1" si="11"/>
        <v>0</v>
      </c>
      <c r="T27" s="6" t="s">
        <v>129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130</v>
      </c>
      <c r="B28" s="6" t="s">
        <v>92</v>
      </c>
      <c r="C28" s="14" t="s">
        <v>131</v>
      </c>
      <c r="D28" s="6" t="s">
        <v>132</v>
      </c>
      <c r="E28" s="6" t="s">
        <v>132</v>
      </c>
      <c r="F28" s="6"/>
      <c r="G28" s="7">
        <v>17</v>
      </c>
      <c r="H28" s="8">
        <v>77.56</v>
      </c>
      <c r="I28" s="6" t="s">
        <v>48</v>
      </c>
      <c r="J28" s="9"/>
      <c r="K28" s="8">
        <v>78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6"/>
        <v>5.6730273336771386E-3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t="shared" ca="1" si="11"/>
        <v>0</v>
      </c>
      <c r="T28" s="6" t="s">
        <v>58</v>
      </c>
      <c r="U28" s="6" t="s">
        <v>35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133</v>
      </c>
      <c r="B29" s="6" t="s">
        <v>92</v>
      </c>
      <c r="C29" s="14" t="s">
        <v>134</v>
      </c>
      <c r="D29" s="6" t="s">
        <v>135</v>
      </c>
      <c r="E29" s="6" t="s">
        <v>135</v>
      </c>
      <c r="F29" s="6"/>
      <c r="G29" s="7">
        <v>38</v>
      </c>
      <c r="H29" s="8">
        <v>166.35</v>
      </c>
      <c r="I29" s="6" t="s">
        <v>48</v>
      </c>
      <c r="J29" s="9"/>
      <c r="K29" s="8">
        <v>175.52</v>
      </c>
      <c r="L29" s="13" t="str">
        <f ca="1">IF(I29="DKK",1,IFERROR(_xludf.XLOOKUP(I29,FX!$A$2:$A$20,FX!$B$2:$B$20,""),""))</f>
        <v/>
      </c>
      <c r="M29" s="11">
        <f t="shared" si="0"/>
        <v>0</v>
      </c>
      <c r="N29" s="11" t="str">
        <f t="shared" ca="1" si="1"/>
        <v/>
      </c>
      <c r="O29" s="12">
        <f t="shared" si="6"/>
        <v>5.5124737000300739E-2</v>
      </c>
      <c r="P29" s="12" t="str">
        <f t="shared" ca="1" si="2"/>
        <v/>
      </c>
      <c r="Q29" s="11" t="str">
        <f t="shared" ca="1" si="3"/>
        <v/>
      </c>
      <c r="R29" s="12" t="str">
        <f t="shared" ca="1" si="4"/>
        <v/>
      </c>
      <c r="S29" s="12">
        <f t="shared" ca="1" si="11"/>
        <v>0</v>
      </c>
      <c r="T29" s="6" t="s">
        <v>136</v>
      </c>
      <c r="U29" s="6" t="s">
        <v>137</v>
      </c>
      <c r="V29" s="10" t="b">
        <v>1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  <row r="30" spans="1:28">
      <c r="A30" s="6" t="s">
        <v>138</v>
      </c>
      <c r="B30" s="6" t="s">
        <v>92</v>
      </c>
      <c r="C30" s="14" t="s">
        <v>217</v>
      </c>
      <c r="D30" s="6" t="s">
        <v>218</v>
      </c>
      <c r="E30" s="6" t="s">
        <v>218</v>
      </c>
      <c r="F30" s="6"/>
      <c r="G30" s="7">
        <v>17</v>
      </c>
      <c r="H30" s="8">
        <v>80.75</v>
      </c>
      <c r="I30" s="6" t="s">
        <v>48</v>
      </c>
      <c r="J30" s="9"/>
      <c r="K30" s="8">
        <v>80.75</v>
      </c>
      <c r="L30" s="13"/>
      <c r="M30" s="11">
        <f t="shared" si="0"/>
        <v>0</v>
      </c>
      <c r="N30" s="11"/>
      <c r="O30" s="12">
        <f t="shared" si="6"/>
        <v>0</v>
      </c>
      <c r="P30" s="12"/>
      <c r="Q30" s="11"/>
      <c r="R30" s="12"/>
      <c r="S30" s="12">
        <f t="shared" ca="1" si="11"/>
        <v>0</v>
      </c>
      <c r="T30" s="6" t="s">
        <v>43</v>
      </c>
      <c r="U30" s="6" t="s">
        <v>137</v>
      </c>
      <c r="V30" s="10" t="b">
        <v>1</v>
      </c>
      <c r="W30" s="10" t="b">
        <v>1</v>
      </c>
      <c r="X30" s="6" t="s">
        <v>36</v>
      </c>
      <c r="Y30" s="6" t="s">
        <v>37</v>
      </c>
      <c r="Z30" s="6"/>
      <c r="AA30" s="14"/>
      <c r="AB30" s="14"/>
    </row>
    <row r="31" spans="1:28">
      <c r="A31" s="6" t="s">
        <v>205</v>
      </c>
      <c r="B31" s="6" t="s">
        <v>29</v>
      </c>
      <c r="C31" s="14" t="s">
        <v>139</v>
      </c>
      <c r="D31" s="6" t="s">
        <v>139</v>
      </c>
      <c r="E31" s="6" t="s">
        <v>139</v>
      </c>
      <c r="F31" s="6"/>
      <c r="G31" s="7">
        <f>260</f>
        <v>260</v>
      </c>
      <c r="H31" s="8">
        <v>637</v>
      </c>
      <c r="I31" s="6" t="s">
        <v>42</v>
      </c>
      <c r="J31" s="9">
        <v>1</v>
      </c>
      <c r="K31" s="8">
        <v>1662</v>
      </c>
      <c r="L31" s="13">
        <f>IF(I31="DKK",1,IFERROR(_xludf.XLOOKUP(I31,FX!$A$2:$A$20,FX!$B$2:$B$20,""),""))</f>
        <v>1</v>
      </c>
      <c r="M31" s="11">
        <f t="shared" si="0"/>
        <v>165620</v>
      </c>
      <c r="N31" s="11">
        <f>IFERROR(G31*K31*L31,"")</f>
        <v>432120</v>
      </c>
      <c r="O31" s="12">
        <f t="shared" si="6"/>
        <v>1.609105180533752</v>
      </c>
      <c r="P31" s="12">
        <f t="shared" si="2"/>
        <v>0</v>
      </c>
      <c r="Q31" s="11">
        <f t="shared" si="3"/>
        <v>266500</v>
      </c>
      <c r="R31" s="12">
        <f t="shared" si="4"/>
        <v>1.609105180533752</v>
      </c>
      <c r="S31" s="12">
        <f t="shared" ca="1" si="11"/>
        <v>0.59974139171175211</v>
      </c>
      <c r="T31" s="6" t="s">
        <v>58</v>
      </c>
      <c r="U31" s="6" t="s">
        <v>140</v>
      </c>
      <c r="V31" s="10" t="b">
        <v>0</v>
      </c>
      <c r="W31" s="10" t="b">
        <v>1</v>
      </c>
      <c r="X31" s="6" t="s">
        <v>36</v>
      </c>
      <c r="Y31" s="6" t="s">
        <v>37</v>
      </c>
      <c r="Z31" s="6"/>
      <c r="AA31" s="14"/>
      <c r="AB31" s="14"/>
    </row>
  </sheetData>
  <sheetProtection formatCells="0" formatColumns="0" formatRows="0" insertColumns="0" insertRows="0" insertHyperlinks="0" deleteColumns="0" deleteRows="0" sort="0" autoFilter="0"/>
  <phoneticPr fontId="5" type="noConversion"/>
  <conditionalFormatting sqref="G2:S31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4"/>
  <sheetViews>
    <sheetView workbookViewId="0">
      <selection activeCell="E15" sqref="E15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141</v>
      </c>
      <c r="C1" s="2" t="s">
        <v>142</v>
      </c>
      <c r="D1" s="2" t="s">
        <v>143</v>
      </c>
      <c r="E1" s="2" t="s">
        <v>144</v>
      </c>
      <c r="F1" s="2" t="s">
        <v>27</v>
      </c>
    </row>
    <row r="2" spans="1:6">
      <c r="A2" t="s">
        <v>35</v>
      </c>
      <c r="B2" t="s">
        <v>145</v>
      </c>
      <c r="C2" t="s">
        <v>35</v>
      </c>
      <c r="D2" s="1" t="b">
        <v>1</v>
      </c>
      <c r="E2" s="1" t="b">
        <v>1</v>
      </c>
    </row>
    <row r="3" spans="1:6">
      <c r="A3" t="s">
        <v>137</v>
      </c>
      <c r="B3" t="s">
        <v>137</v>
      </c>
      <c r="C3" t="s">
        <v>137</v>
      </c>
      <c r="D3" s="1" t="b">
        <v>1</v>
      </c>
      <c r="E3" s="1" t="b">
        <v>1</v>
      </c>
    </row>
    <row r="4" spans="1:6">
      <c r="A4" t="s">
        <v>140</v>
      </c>
      <c r="B4" t="s">
        <v>146</v>
      </c>
      <c r="C4" t="s">
        <v>147</v>
      </c>
      <c r="D4" s="1" t="b">
        <v>1</v>
      </c>
      <c r="E4" s="1" t="b">
        <v>0</v>
      </c>
      <c r="F4" t="s">
        <v>148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11"/>
  <sheetViews>
    <sheetView workbookViewId="0">
      <selection activeCell="D33" sqref="D33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149</v>
      </c>
      <c r="B1" s="2" t="s">
        <v>150</v>
      </c>
      <c r="C1" s="2" t="s">
        <v>151</v>
      </c>
      <c r="D1" s="2" t="s">
        <v>152</v>
      </c>
    </row>
    <row r="2" spans="1:4">
      <c r="A2" t="s">
        <v>153</v>
      </c>
      <c r="B2" t="s">
        <v>154</v>
      </c>
      <c r="D2" t="s">
        <v>155</v>
      </c>
    </row>
    <row r="3" spans="1:4">
      <c r="A3" t="s">
        <v>156</v>
      </c>
      <c r="B3" s="5">
        <v>0.02</v>
      </c>
      <c r="C3" t="s">
        <v>157</v>
      </c>
      <c r="D3" t="s">
        <v>158</v>
      </c>
    </row>
    <row r="4" spans="1:4">
      <c r="A4" t="s">
        <v>159</v>
      </c>
      <c r="B4" s="5">
        <v>0.14000000000000001</v>
      </c>
      <c r="C4" t="s">
        <v>157</v>
      </c>
      <c r="D4" t="s">
        <v>160</v>
      </c>
    </row>
    <row r="5" spans="1:4">
      <c r="A5" t="s">
        <v>161</v>
      </c>
      <c r="B5" s="5">
        <v>0.25</v>
      </c>
      <c r="C5" t="s">
        <v>157</v>
      </c>
      <c r="D5" t="s">
        <v>162</v>
      </c>
    </row>
    <row r="6" spans="1:4">
      <c r="A6" t="s">
        <v>163</v>
      </c>
      <c r="B6" s="5">
        <v>0.25</v>
      </c>
      <c r="C6" t="s">
        <v>157</v>
      </c>
      <c r="D6" t="s">
        <v>162</v>
      </c>
    </row>
    <row r="7" spans="1:4">
      <c r="A7" t="s">
        <v>164</v>
      </c>
      <c r="B7" s="5">
        <v>0.2</v>
      </c>
      <c r="C7" t="s">
        <v>157</v>
      </c>
      <c r="D7" t="s">
        <v>162</v>
      </c>
    </row>
    <row r="8" spans="1:4">
      <c r="A8" t="s">
        <v>165</v>
      </c>
      <c r="B8" s="5">
        <v>0.2</v>
      </c>
      <c r="C8" t="s">
        <v>157</v>
      </c>
      <c r="D8" t="s">
        <v>162</v>
      </c>
    </row>
    <row r="9" spans="1:4">
      <c r="A9" t="s">
        <v>166</v>
      </c>
      <c r="B9" s="5">
        <v>0.1</v>
      </c>
      <c r="C9" t="s">
        <v>157</v>
      </c>
      <c r="D9" t="s">
        <v>162</v>
      </c>
    </row>
    <row r="10" spans="1:4">
      <c r="A10" t="s">
        <v>167</v>
      </c>
      <c r="B10" t="s">
        <v>168</v>
      </c>
      <c r="D10" t="s">
        <v>169</v>
      </c>
    </row>
    <row r="11" spans="1:4">
      <c r="A11" t="s">
        <v>170</v>
      </c>
      <c r="B11">
        <v>5</v>
      </c>
      <c r="C11" t="s">
        <v>171</v>
      </c>
      <c r="D11" t="s">
        <v>172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3.75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173</v>
      </c>
      <c r="D1" s="2" t="s">
        <v>174</v>
      </c>
      <c r="E1" s="2" t="s">
        <v>175</v>
      </c>
      <c r="F1" s="2" t="s">
        <v>176</v>
      </c>
      <c r="G1" s="2" t="s">
        <v>177</v>
      </c>
    </row>
    <row r="2" spans="1:7">
      <c r="A2" t="s">
        <v>42</v>
      </c>
      <c r="B2" s="3">
        <v>1</v>
      </c>
      <c r="D2" t="s">
        <v>178</v>
      </c>
      <c r="E2">
        <v>1</v>
      </c>
      <c r="F2" s="1" t="b">
        <v>0</v>
      </c>
      <c r="G2" t="s">
        <v>179</v>
      </c>
    </row>
    <row r="3" spans="1:7">
      <c r="A3" t="s">
        <v>48</v>
      </c>
      <c r="B3" s="3"/>
      <c r="D3" t="s">
        <v>180</v>
      </c>
      <c r="F3" s="1" t="b">
        <v>0</v>
      </c>
      <c r="G3" t="s">
        <v>181</v>
      </c>
    </row>
    <row r="4" spans="1:7">
      <c r="A4" t="s">
        <v>57</v>
      </c>
      <c r="B4" s="3"/>
      <c r="D4" t="s">
        <v>180</v>
      </c>
      <c r="F4" s="1" t="b">
        <v>0</v>
      </c>
      <c r="G4" t="s">
        <v>181</v>
      </c>
    </row>
    <row r="5" spans="1:7">
      <c r="A5" t="s">
        <v>33</v>
      </c>
      <c r="B5" s="3"/>
      <c r="D5" t="s">
        <v>180</v>
      </c>
      <c r="F5" s="1" t="b">
        <v>0</v>
      </c>
      <c r="G5" t="s">
        <v>181</v>
      </c>
    </row>
    <row r="6" spans="1:7">
      <c r="A6" t="s">
        <v>182</v>
      </c>
      <c r="B6" s="3"/>
      <c r="D6" t="s">
        <v>180</v>
      </c>
      <c r="F6" s="1" t="b">
        <v>0</v>
      </c>
      <c r="G6" t="s">
        <v>181</v>
      </c>
    </row>
    <row r="7" spans="1:7">
      <c r="A7" t="s">
        <v>183</v>
      </c>
      <c r="B7" s="3"/>
      <c r="D7" t="s">
        <v>180</v>
      </c>
      <c r="F7" s="1" t="b">
        <v>0</v>
      </c>
      <c r="G7" t="s">
        <v>181</v>
      </c>
    </row>
    <row r="8" spans="1:7">
      <c r="A8" t="s">
        <v>184</v>
      </c>
      <c r="B8" s="3"/>
      <c r="D8" t="s">
        <v>180</v>
      </c>
      <c r="F8" s="1" t="b">
        <v>0</v>
      </c>
      <c r="G8" t="s">
        <v>181</v>
      </c>
    </row>
    <row r="9" spans="1:7">
      <c r="A9" t="s">
        <v>185</v>
      </c>
      <c r="B9" s="3"/>
      <c r="D9" t="s">
        <v>180</v>
      </c>
      <c r="F9" s="1" t="b">
        <v>0</v>
      </c>
      <c r="G9" t="s">
        <v>181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theme="3" tint="0.749992370372631"/>
  </sheetPr>
  <dimension ref="A1:F32"/>
  <sheetViews>
    <sheetView workbookViewId="0">
      <selection activeCell="A23" sqref="A23:XFD23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186</v>
      </c>
      <c r="D1" s="2" t="s">
        <v>8</v>
      </c>
      <c r="E1" s="2" t="s">
        <v>187</v>
      </c>
      <c r="F1" s="2" t="s">
        <v>188</v>
      </c>
    </row>
    <row r="2" spans="1:6">
      <c r="A2" t="s">
        <v>31</v>
      </c>
      <c r="B2" t="s">
        <v>32</v>
      </c>
      <c r="C2" t="s">
        <v>189</v>
      </c>
      <c r="D2" t="s">
        <v>33</v>
      </c>
      <c r="E2" t="s">
        <v>190</v>
      </c>
      <c r="F2" t="s">
        <v>179</v>
      </c>
    </row>
    <row r="3" spans="1:6">
      <c r="A3" t="s">
        <v>40</v>
      </c>
      <c r="B3" t="s">
        <v>41</v>
      </c>
      <c r="C3" t="s">
        <v>191</v>
      </c>
      <c r="D3" t="s">
        <v>42</v>
      </c>
      <c r="E3" t="s">
        <v>190</v>
      </c>
      <c r="F3" t="s">
        <v>179</v>
      </c>
    </row>
    <row r="4" spans="1:6">
      <c r="A4" t="s">
        <v>46</v>
      </c>
      <c r="B4" t="s">
        <v>47</v>
      </c>
      <c r="C4" t="s">
        <v>192</v>
      </c>
      <c r="D4" t="s">
        <v>48</v>
      </c>
      <c r="E4" t="s">
        <v>190</v>
      </c>
      <c r="F4" t="s">
        <v>179</v>
      </c>
    </row>
    <row r="5" spans="1:6">
      <c r="A5" t="s">
        <v>215</v>
      </c>
      <c r="B5" t="s">
        <v>213</v>
      </c>
      <c r="C5" t="s">
        <v>194</v>
      </c>
      <c r="D5" t="s">
        <v>57</v>
      </c>
      <c r="E5" t="s">
        <v>190</v>
      </c>
      <c r="F5" t="s">
        <v>179</v>
      </c>
    </row>
    <row r="6" spans="1:6">
      <c r="A6" t="s">
        <v>52</v>
      </c>
      <c r="B6" t="s">
        <v>53</v>
      </c>
      <c r="C6" t="s">
        <v>191</v>
      </c>
      <c r="D6" t="s">
        <v>42</v>
      </c>
      <c r="E6" t="s">
        <v>190</v>
      </c>
      <c r="F6" t="s">
        <v>179</v>
      </c>
    </row>
    <row r="7" spans="1:6">
      <c r="A7" t="s">
        <v>56</v>
      </c>
      <c r="B7" t="s">
        <v>56</v>
      </c>
      <c r="D7" t="s">
        <v>57</v>
      </c>
      <c r="E7" t="s">
        <v>190</v>
      </c>
      <c r="F7" t="s">
        <v>179</v>
      </c>
    </row>
    <row r="8" spans="1:6">
      <c r="A8" t="s">
        <v>61</v>
      </c>
      <c r="B8" t="s">
        <v>62</v>
      </c>
      <c r="C8" t="s">
        <v>193</v>
      </c>
      <c r="D8" t="s">
        <v>48</v>
      </c>
      <c r="E8" t="s">
        <v>190</v>
      </c>
      <c r="F8" t="s">
        <v>179</v>
      </c>
    </row>
    <row r="9" spans="1:6">
      <c r="A9" t="s">
        <v>65</v>
      </c>
      <c r="B9" t="s">
        <v>65</v>
      </c>
      <c r="D9" t="s">
        <v>42</v>
      </c>
      <c r="E9" t="s">
        <v>190</v>
      </c>
      <c r="F9" t="s">
        <v>179</v>
      </c>
    </row>
    <row r="10" spans="1:6">
      <c r="A10" t="s">
        <v>68</v>
      </c>
      <c r="B10" t="s">
        <v>68</v>
      </c>
      <c r="D10" t="s">
        <v>42</v>
      </c>
      <c r="E10" t="s">
        <v>190</v>
      </c>
      <c r="F10" t="s">
        <v>179</v>
      </c>
    </row>
    <row r="11" spans="1:6">
      <c r="A11" t="s">
        <v>72</v>
      </c>
      <c r="B11" t="s">
        <v>73</v>
      </c>
      <c r="C11" t="s">
        <v>191</v>
      </c>
      <c r="D11" t="s">
        <v>42</v>
      </c>
      <c r="E11" t="s">
        <v>190</v>
      </c>
      <c r="F11" t="s">
        <v>179</v>
      </c>
    </row>
    <row r="12" spans="1:6">
      <c r="A12" t="s">
        <v>208</v>
      </c>
      <c r="B12" t="s">
        <v>207</v>
      </c>
      <c r="C12" t="s">
        <v>193</v>
      </c>
      <c r="D12" t="s">
        <v>48</v>
      </c>
      <c r="E12" t="s">
        <v>190</v>
      </c>
      <c r="F12" t="s">
        <v>179</v>
      </c>
    </row>
    <row r="13" spans="1:6">
      <c r="A13" t="s">
        <v>77</v>
      </c>
      <c r="B13" t="s">
        <v>78</v>
      </c>
      <c r="C13" t="s">
        <v>193</v>
      </c>
      <c r="D13" t="s">
        <v>48</v>
      </c>
      <c r="E13" t="s">
        <v>190</v>
      </c>
      <c r="F13" t="s">
        <v>179</v>
      </c>
    </row>
    <row r="14" spans="1:6">
      <c r="A14" t="s">
        <v>81</v>
      </c>
      <c r="B14" t="s">
        <v>82</v>
      </c>
      <c r="C14" t="s">
        <v>194</v>
      </c>
      <c r="D14" t="s">
        <v>57</v>
      </c>
      <c r="E14" t="s">
        <v>190</v>
      </c>
      <c r="F14" t="s">
        <v>179</v>
      </c>
    </row>
    <row r="15" spans="1:6">
      <c r="A15" t="s">
        <v>84</v>
      </c>
      <c r="B15" t="s">
        <v>85</v>
      </c>
      <c r="C15" t="s">
        <v>193</v>
      </c>
      <c r="D15" t="s">
        <v>48</v>
      </c>
      <c r="E15" t="s">
        <v>190</v>
      </c>
      <c r="F15" t="s">
        <v>179</v>
      </c>
    </row>
    <row r="16" spans="1:6">
      <c r="A16" t="s">
        <v>88</v>
      </c>
      <c r="B16" t="s">
        <v>89</v>
      </c>
      <c r="C16" t="s">
        <v>191</v>
      </c>
      <c r="D16" t="s">
        <v>42</v>
      </c>
      <c r="E16" t="s">
        <v>190</v>
      </c>
      <c r="F16" t="s">
        <v>179</v>
      </c>
    </row>
    <row r="17" spans="1:6">
      <c r="A17" t="s">
        <v>209</v>
      </c>
      <c r="B17" t="s">
        <v>209</v>
      </c>
      <c r="C17" t="s">
        <v>193</v>
      </c>
      <c r="D17" t="s">
        <v>48</v>
      </c>
      <c r="E17" t="s">
        <v>190</v>
      </c>
      <c r="F17" t="s">
        <v>179</v>
      </c>
    </row>
    <row r="18" spans="1:6">
      <c r="A18" t="s">
        <v>98</v>
      </c>
      <c r="B18" t="s">
        <v>98</v>
      </c>
      <c r="D18" t="s">
        <v>48</v>
      </c>
      <c r="E18" t="s">
        <v>190</v>
      </c>
      <c r="F18" t="s">
        <v>179</v>
      </c>
    </row>
    <row r="19" spans="1:6">
      <c r="A19" t="s">
        <v>203</v>
      </c>
      <c r="B19" t="s">
        <v>204</v>
      </c>
      <c r="D19" t="s">
        <v>48</v>
      </c>
      <c r="E19" t="s">
        <v>190</v>
      </c>
      <c r="F19" t="s">
        <v>179</v>
      </c>
    </row>
    <row r="20" spans="1:6">
      <c r="A20" t="s">
        <v>104</v>
      </c>
      <c r="B20" t="s">
        <v>104</v>
      </c>
      <c r="D20" t="s">
        <v>48</v>
      </c>
      <c r="E20" t="s">
        <v>190</v>
      </c>
      <c r="F20" t="s">
        <v>179</v>
      </c>
    </row>
    <row r="21" spans="1:6">
      <c r="A21" t="s">
        <v>101</v>
      </c>
      <c r="B21" t="s">
        <v>101</v>
      </c>
      <c r="D21" t="s">
        <v>48</v>
      </c>
      <c r="E21" t="s">
        <v>190</v>
      </c>
      <c r="F21" t="s">
        <v>179</v>
      </c>
    </row>
    <row r="22" spans="1:6">
      <c r="A22" t="s">
        <v>107</v>
      </c>
      <c r="B22" t="s">
        <v>107</v>
      </c>
      <c r="D22" t="s">
        <v>48</v>
      </c>
      <c r="E22" t="s">
        <v>190</v>
      </c>
      <c r="F22" t="s">
        <v>179</v>
      </c>
    </row>
    <row r="23" spans="1:6">
      <c r="A23" t="s">
        <v>111</v>
      </c>
      <c r="B23" t="s">
        <v>111</v>
      </c>
      <c r="D23" t="s">
        <v>48</v>
      </c>
      <c r="E23" t="s">
        <v>190</v>
      </c>
      <c r="F23" t="s">
        <v>179</v>
      </c>
    </row>
    <row r="24" spans="1:6">
      <c r="A24" t="s">
        <v>115</v>
      </c>
      <c r="B24" t="s">
        <v>115</v>
      </c>
      <c r="D24" t="s">
        <v>48</v>
      </c>
      <c r="E24" t="s">
        <v>190</v>
      </c>
      <c r="F24" t="s">
        <v>179</v>
      </c>
    </row>
    <row r="25" spans="1:6">
      <c r="A25" t="s">
        <v>119</v>
      </c>
      <c r="B25" t="s">
        <v>119</v>
      </c>
      <c r="D25" t="s">
        <v>48</v>
      </c>
      <c r="E25" t="s">
        <v>190</v>
      </c>
      <c r="F25" t="s">
        <v>179</v>
      </c>
    </row>
    <row r="26" spans="1:6">
      <c r="A26" t="s">
        <v>122</v>
      </c>
      <c r="B26" t="s">
        <v>122</v>
      </c>
      <c r="D26" t="s">
        <v>48</v>
      </c>
      <c r="E26" t="s">
        <v>190</v>
      </c>
      <c r="F26" t="s">
        <v>179</v>
      </c>
    </row>
    <row r="27" spans="1:6">
      <c r="A27" t="s">
        <v>125</v>
      </c>
      <c r="B27" t="s">
        <v>125</v>
      </c>
      <c r="D27" t="s">
        <v>48</v>
      </c>
      <c r="E27" t="s">
        <v>190</v>
      </c>
      <c r="F27" t="s">
        <v>179</v>
      </c>
    </row>
    <row r="28" spans="1:6">
      <c r="A28" t="s">
        <v>128</v>
      </c>
      <c r="B28" t="s">
        <v>128</v>
      </c>
      <c r="D28" t="s">
        <v>48</v>
      </c>
      <c r="E28" t="s">
        <v>190</v>
      </c>
      <c r="F28" t="s">
        <v>179</v>
      </c>
    </row>
    <row r="29" spans="1:6">
      <c r="A29" t="s">
        <v>132</v>
      </c>
      <c r="B29" t="s">
        <v>132</v>
      </c>
      <c r="D29" t="s">
        <v>48</v>
      </c>
      <c r="E29" t="s">
        <v>190</v>
      </c>
      <c r="F29" t="s">
        <v>179</v>
      </c>
    </row>
    <row r="30" spans="1:6">
      <c r="A30" t="s">
        <v>135</v>
      </c>
      <c r="B30" t="s">
        <v>135</v>
      </c>
      <c r="D30" t="s">
        <v>48</v>
      </c>
      <c r="E30" t="s">
        <v>190</v>
      </c>
      <c r="F30" t="s">
        <v>179</v>
      </c>
    </row>
    <row r="31" spans="1:6">
      <c r="A31" t="s">
        <v>218</v>
      </c>
      <c r="B31" t="s">
        <v>218</v>
      </c>
      <c r="D31" t="s">
        <v>48</v>
      </c>
      <c r="E31" t="s">
        <v>190</v>
      </c>
      <c r="F31" t="s">
        <v>179</v>
      </c>
    </row>
    <row r="32" spans="1:6">
      <c r="A32" t="s">
        <v>139</v>
      </c>
      <c r="B32" t="s">
        <v>139</v>
      </c>
      <c r="D32" t="s">
        <v>42</v>
      </c>
      <c r="E32" t="s">
        <v>190</v>
      </c>
      <c r="F32" t="s">
        <v>179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2"/>
  <sheetViews>
    <sheetView workbookViewId="0">
      <selection activeCell="F20" sqref="F20"/>
    </sheetView>
  </sheetViews>
  <sheetFormatPr defaultRowHeight="14"/>
  <cols>
    <col min="1" max="1" width="13.6640625" customWidth="1"/>
    <col min="2" max="2" width="8.5" customWidth="1"/>
    <col min="3" max="3" width="13.25" bestFit="1" customWidth="1"/>
    <col min="4" max="4" width="9" bestFit="1" customWidth="1"/>
    <col min="5" max="5" width="12.75" customWidth="1"/>
    <col min="6" max="6" width="13.25" customWidth="1"/>
    <col min="7" max="8" width="12.1640625" customWidth="1"/>
    <col min="9" max="9" width="13.83203125" bestFit="1" customWidth="1"/>
    <col min="10" max="10" width="40.1640625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195</v>
      </c>
      <c r="G1" s="2" t="s">
        <v>196</v>
      </c>
      <c r="H1" s="2" t="s">
        <v>197</v>
      </c>
      <c r="I1" s="2" t="s">
        <v>198</v>
      </c>
      <c r="J1" s="2" t="s">
        <v>27</v>
      </c>
    </row>
    <row r="2" spans="1:10">
      <c r="A2" t="s">
        <v>210</v>
      </c>
      <c r="B2" t="s">
        <v>211</v>
      </c>
      <c r="C2" t="s">
        <v>212</v>
      </c>
      <c r="D2" t="s">
        <v>48</v>
      </c>
      <c r="E2" t="s">
        <v>49</v>
      </c>
      <c r="I2">
        <v>94</v>
      </c>
      <c r="J2" t="s">
        <v>214</v>
      </c>
    </row>
  </sheetData>
  <conditionalFormatting sqref="G2:I200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"/>
  <sheetViews>
    <sheetView workbookViewId="0">
      <selection activeCell="C3" sqref="C3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199</v>
      </c>
      <c r="D1" s="2" t="s">
        <v>200</v>
      </c>
      <c r="E1" s="2" t="s">
        <v>201</v>
      </c>
      <c r="F1" s="2" t="s">
        <v>143</v>
      </c>
      <c r="G1" s="2" t="s">
        <v>144</v>
      </c>
    </row>
    <row r="2" spans="1:7">
      <c r="A2" t="s">
        <v>35</v>
      </c>
      <c r="B2" t="s">
        <v>42</v>
      </c>
      <c r="C2" s="4">
        <v>61074</v>
      </c>
      <c r="D2" s="4">
        <v>1</v>
      </c>
      <c r="E2" s="4">
        <f>C2*D2</f>
        <v>61074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2026-08-03T17:04:55Z</dcterms:created>
  <dcterms:modified xsi:type="dcterms:W3CDTF">2026-10-14T07:41:20Z</dcterms:modified>
</cp:coreProperties>
</file>