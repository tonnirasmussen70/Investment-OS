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88787A36-6A58-4047-9F90-CD26617DEB75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8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7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7" i="1"/>
  <c r="S17" i="1"/>
  <c r="R17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<sst xmlns="http://schemas.openxmlformats.org/spreadsheetml/2006/main" count="597" uniqueCount="218">
  <si>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</si>
  <si>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</si>
  <si>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</si>
  <si>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</si>
  <si>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</si>
  <si>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</si>
  <si>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</si>
  <si>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</si>
  <si>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</si>
  <si>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</si>
  <si>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</si>
  <si>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</si>
  <si>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</si>
  <si>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</si>
  <si>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</si>
  <si>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</si>
  <si>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</si>
  <si>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</si>
  <si>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</si>
  <si>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</si>
  <si>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</si>
  <si>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</si>
  <si>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</si>
  <si>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</si>
  <si>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</si>
  <si>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</si>
  <si>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</si>
  <si>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</si>
  <si>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</si>
  <si>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</si>
  <si>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</si>
  <si>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</si>
  <si>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</si>
  <si>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</si>
  <si>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</si>
  <si>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</si>
  <si>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</si>
  <si>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</si>
  <si>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</si>
  <si>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</si>
  <si>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</si>
  <si>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</si>
  <si>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</si>
  <si>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</si>
  <si>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</si>
  <si>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</si>
  <si>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</si>
  <si>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</si>
  <si>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</si>
  <si>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</si>
  <si>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</si>
  <si>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</si>
  <si>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</si>
  <si>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</si>
  <si>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</si>
  <si>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</si>
  <si>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</si>
  <si>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</si>
  <si>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</si>
  <si>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</si>
  <si>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</si>
  <si>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</si>
  <si>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</si>
  <si>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</si>
  <si>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</si>
  <si>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</si>
  <si>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</si>
  <si>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</si>
  <si>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</si>
  <si>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</si>
  <si>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</si>
  <si>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</si>
  <si>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</si>
  <si>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</si>
  <si>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</si>
  <si>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</si>
  <si>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</si>
  <si>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</si>
  <si>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</si>
  <si>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</si>
  <si>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</si>
  <si>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</si>
  <si>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</si>
  <si>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</si>
  <si>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</si>
  <si>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</si>
  <si>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</si>
  <si>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</si>
  <si>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</si>
  <si>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</si>
  <si>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</si>
  <si>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</si>
  <si>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</si>
  <si>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</si>
  <si>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</si>
  <si>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</si>
  <si>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</si>
  <si>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</si>
  <si>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</si>
  <si>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</si>
  <si>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</si>
  <si>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</si>
  <si>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</si>
  <si>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</si>
  <si>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</si>
  <si>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</si>
  <si>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</si>
  <si>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</si>
  <si>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</si>
  <si>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</si>
  <si>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</si>
  <si>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</si>
  <si>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</si>
  <si>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</si>
  <si>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</si>
  <si>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</si>
  <si>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</si>
  <si>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</si>
  <si>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</si>
  <si>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</si>
  <si>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</si>
  <si>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</si>
  <si>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</si>
  <si>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</si>
  <si>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</si>
  <si>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</si>
  <si>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</si>
  <si>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</si>
  <si>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</si>
  <si>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</si>
  <si>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</si>
  <si>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</si>
  <si>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</si>
  <si>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</si>
  <si>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</si>
  <si>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</si>
  <si>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</si>
  <si>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</si>
  <si>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</si>
  <si>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</si>
  <si>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</si>
  <si>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</si>
  <si>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</si>
  <si>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</si>
  <si>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</si>
  <si>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</si>
  <si>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</si>
  <si>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</si>
  <si>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</si>
  <si>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</si>
  <si>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</si>
  <si>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</si>
  <si>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</si>
  <si>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</si>
  <si>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</si>
  <si>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</si>
  <si>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</si>
  <si>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</si>
  <si>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</si>
  <si>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</si>
  <si>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</si>
  <si>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</si>
  <si>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</si>
  <si>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</si>
  <si>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</si>
  <si>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</si>
  <si>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</si>
  <si>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</si>
  <si>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</si>
  <si>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</si>
  <si>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</si>
  <si>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</si>
  <si>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</si>
  <si>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</si>
  <si>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</si>
  <si>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</si>
  <si>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</si>
  <si>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</si>
  <si>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</si>
  <si>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</si>
  <si>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</si>
  <si>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</si>
  <si>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</si>
  <si>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</si>
  <si>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</si>
  <si>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</si>
  <si>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</si>
  <si>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</si>
  <si>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</si>
  <si>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</si>
  <si>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</si>
  <si>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</si>
  <si>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</si>
  <si>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</si>
  <si>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</si>
  <si>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</si>
  <si>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</si>
  <si>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</si>
  <si>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</si>
  <si>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</si>
  <si>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</si>
  <si>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</si>
  <si>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</si>
  <si>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</si>
  <si>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</si>
  <si>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</si>
  <si>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</si>
  <si>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</si>
  <si>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</si>
  <si>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</si>
  <si>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</si>
  <si>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</si>
  <si>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</si>
  <si>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</si>
  <si>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</si>
  <si>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</si>
  <si>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Celestica</t>
  </si>
  <si>
    <t>CLS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</si>
</sst>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3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zoomScale="80" zoomScaleNormal="80" workbookViewId="0">
      <selection activeCell="G15" sqref="G1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7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8.0429992948366363E-2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7.9855833268040424E-2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0.13946982161978635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18</v>
      </c>
      <c r="H10" s="8">
        <v>598.29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10769.22</v>
      </c>
      <c r="N10" s="11">
        <f t="shared" si="1"/>
        <v>15242.4</v>
      </c>
      <c r="O10" s="12">
        <f t="shared" si="6"/>
        <v>0.41536712965284406</v>
      </c>
      <c r="P10" s="12">
        <f t="shared" si="2"/>
        <v>0</v>
      </c>
      <c r="Q10" s="11">
        <f t="shared" si="3"/>
        <v>4473.18</v>
      </c>
      <c r="R10" s="12">
        <f t="shared" si="4"/>
        <v>0.41536712965284406</v>
      </c>
      <c r="S10" s="12">
        <f t="shared" ca="1" si="5"/>
        <v>2.1231371934498158E-2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209</v>
      </c>
      <c r="D11" s="6" t="s">
        <v>211</v>
      </c>
      <c r="E11" s="6" t="s">
        <v>210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7">IFERROR(K11/H11-1,"")</f>
        <v>4.1689323907920794E-3</v>
      </c>
      <c r="P11" s="12" t="str">
        <f t="shared" ref="P11" si="8">IFERROR(L11/J11-1,"")</f>
        <v/>
      </c>
      <c r="Q11" s="11">
        <f t="shared" ref="Q11" si="9">IFERROR(N11-M11,"")</f>
        <v>0</v>
      </c>
      <c r="R11" s="12" t="str">
        <f t="shared" ref="R11" si="10">IFERROR(N11/M11-1,"")</f>
        <v/>
      </c>
      <c r="S11" s="12">
        <f t="shared" ca="1" si="5"/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141.49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0.11470775319810578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133</v>
      </c>
      <c r="H14" s="8">
        <v>158.22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21043.26</v>
      </c>
      <c r="N14" s="11">
        <f t="shared" si="1"/>
        <v>23481.15</v>
      </c>
      <c r="O14" s="12">
        <f t="shared" si="6"/>
        <v>0.11585134622677296</v>
      </c>
      <c r="P14" s="12">
        <f t="shared" si="2"/>
        <v>0</v>
      </c>
      <c r="Q14" s="11">
        <f t="shared" si="3"/>
        <v>2437.8900000000031</v>
      </c>
      <c r="R14" s="12">
        <f t="shared" si="4"/>
        <v>0.11585134622677296</v>
      </c>
      <c r="S14" s="12">
        <f t="shared" ca="1" si="5"/>
        <v>3.2707252735772678E-2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212</v>
      </c>
      <c r="E15" s="6" t="s">
        <v>212</v>
      </c>
      <c r="F15" s="6"/>
      <c r="G15" s="7">
        <v>27</v>
      </c>
      <c r="H15" s="8">
        <v>57.93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1.2083549110997183E-3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95</v>
      </c>
      <c r="AB15" s="14"/>
    </row>
    <row r="16" spans="1:28">
      <c r="A16" s="6" t="s">
        <v>96</v>
      </c>
      <c r="B16" s="6" t="s">
        <v>92</v>
      </c>
      <c r="C16" s="14" t="s">
        <v>97</v>
      </c>
      <c r="D16" s="6" t="s">
        <v>98</v>
      </c>
      <c r="E16" s="6" t="s">
        <v>98</v>
      </c>
      <c r="F16" s="6"/>
      <c r="G16" s="7">
        <v>39</v>
      </c>
      <c r="H16" s="8">
        <v>46.039000000000001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4.2594322205086854E-2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99</v>
      </c>
      <c r="B17" s="6" t="s">
        <v>92</v>
      </c>
      <c r="C17" s="14" t="s">
        <v>100</v>
      </c>
      <c r="D17" s="6" t="s">
        <v>101</v>
      </c>
      <c r="E17" s="6" t="s">
        <v>101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>IFERROR(G17*H17*J17,"")</f>
        <v>0</v>
      </c>
      <c r="N17" s="11" t="str">
        <f ca="1">IFERROR(G17*K17*L17,"")</f>
        <v/>
      </c>
      <c r="O17" s="12">
        <f>IFERROR(K17/H17-1,"")</f>
        <v>-0.20580110497237569</v>
      </c>
      <c r="P17" s="12" t="str">
        <f ca="1">IFERROR(L17/J17-1,"")</f>
        <v/>
      </c>
      <c r="Q17" s="11" t="str">
        <f ca="1">IFERROR(N17-M17,"")</f>
        <v/>
      </c>
      <c r="R17" s="12" t="str">
        <f ca="1">IFERROR(N17/M17-1,"")</f>
        <v/>
      </c>
      <c r="S17" s="12">
        <f t="shared" ca="1" si="5"/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102</v>
      </c>
      <c r="B18" s="6" t="s">
        <v>92</v>
      </c>
      <c r="C18" s="14" t="s">
        <v>205</v>
      </c>
      <c r="D18" s="6" t="s">
        <v>206</v>
      </c>
      <c r="E18" s="6" t="s">
        <v>207</v>
      </c>
      <c r="F18" s="6"/>
      <c r="G18" s="7">
        <v>17</v>
      </c>
      <c r="H18" s="8">
        <v>78.83</v>
      </c>
      <c r="I18" s="6" t="s">
        <v>48</v>
      </c>
      <c r="J18" s="9"/>
      <c r="K18" s="8">
        <v>79</v>
      </c>
      <c r="L18" s="13"/>
      <c r="M18" s="11"/>
      <c r="N18" s="11"/>
      <c r="O18" s="12">
        <f t="shared" si="6"/>
        <v>2.1565393885576434E-3</v>
      </c>
      <c r="P18" s="12"/>
      <c r="Q18" s="11"/>
      <c r="R18" s="12"/>
      <c r="S18" s="12"/>
      <c r="T18" s="6" t="s">
        <v>138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105</v>
      </c>
      <c r="B19" s="6" t="s">
        <v>92</v>
      </c>
      <c r="C19" s="14" t="s">
        <v>103</v>
      </c>
      <c r="D19" s="6" t="s">
        <v>104</v>
      </c>
      <c r="E19" s="6" t="s">
        <v>104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ref="S19:S30" ca="1" si="11">IF(W19=TRUE,IFERROR(N19/SUMIFS($N$2:$N$501,$W$2:$W$501,TRUE),0),0)</f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108</v>
      </c>
      <c r="B20" s="6" t="s">
        <v>92</v>
      </c>
      <c r="C20" s="14" t="s">
        <v>106</v>
      </c>
      <c r="D20" s="6" t="s">
        <v>107</v>
      </c>
      <c r="E20" s="6" t="s">
        <v>107</v>
      </c>
      <c r="F20" s="6"/>
      <c r="G20" s="7">
        <v>363</v>
      </c>
      <c r="H20" s="8">
        <v>9.9689999999999994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0.70528638780218689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11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111</v>
      </c>
      <c r="B21" s="6" t="s">
        <v>92</v>
      </c>
      <c r="C21" s="14" t="s">
        <v>109</v>
      </c>
      <c r="D21" s="6" t="s">
        <v>110</v>
      </c>
      <c r="E21" s="6" t="s">
        <v>110</v>
      </c>
      <c r="F21" s="6"/>
      <c r="G21" s="7">
        <v>9</v>
      </c>
      <c r="H21" s="8">
        <v>108.26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-3.0112691668206182E-2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115</v>
      </c>
      <c r="B22" s="6" t="s">
        <v>92</v>
      </c>
      <c r="C22" s="14" t="s">
        <v>112</v>
      </c>
      <c r="D22" s="6" t="s">
        <v>113</v>
      </c>
      <c r="E22" s="6" t="s">
        <v>113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114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119</v>
      </c>
      <c r="B23" s="6" t="s">
        <v>92</v>
      </c>
      <c r="C23" s="14" t="s">
        <v>116</v>
      </c>
      <c r="D23" s="6" t="s">
        <v>117</v>
      </c>
      <c r="E23" s="6" t="s">
        <v>117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118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122</v>
      </c>
      <c r="B24" s="6" t="s">
        <v>92</v>
      </c>
      <c r="C24" s="14" t="s">
        <v>120</v>
      </c>
      <c r="D24" s="6" t="s">
        <v>121</v>
      </c>
      <c r="E24" s="6" t="s">
        <v>121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125</v>
      </c>
      <c r="B25" s="6" t="s">
        <v>92</v>
      </c>
      <c r="C25" s="14" t="s">
        <v>123</v>
      </c>
      <c r="D25" s="6" t="s">
        <v>124</v>
      </c>
      <c r="E25" s="6" t="s">
        <v>124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128</v>
      </c>
      <c r="B26" s="6" t="s">
        <v>92</v>
      </c>
      <c r="C26" s="14" t="s">
        <v>126</v>
      </c>
      <c r="D26" s="6" t="s">
        <v>127</v>
      </c>
      <c r="E26" s="6" t="s">
        <v>127</v>
      </c>
      <c r="F26" s="6"/>
      <c r="G26" s="7">
        <v>26</v>
      </c>
      <c r="H26" s="8">
        <v>56.86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-5.0298979950756273E-2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132</v>
      </c>
      <c r="B27" s="6" t="s">
        <v>92</v>
      </c>
      <c r="C27" s="14" t="s">
        <v>129</v>
      </c>
      <c r="D27" s="6" t="s">
        <v>130</v>
      </c>
      <c r="E27" s="6" t="s">
        <v>130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131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135</v>
      </c>
      <c r="B28" s="6" t="s">
        <v>92</v>
      </c>
      <c r="C28" s="14" t="s">
        <v>133</v>
      </c>
      <c r="D28" s="6" t="s">
        <v>134</v>
      </c>
      <c r="E28" s="6" t="s">
        <v>134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140</v>
      </c>
      <c r="B29" s="6" t="s">
        <v>92</v>
      </c>
      <c r="C29" s="14" t="s">
        <v>136</v>
      </c>
      <c r="D29" s="6" t="s">
        <v>137</v>
      </c>
      <c r="E29" s="6" t="s">
        <v>137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138</v>
      </c>
      <c r="U29" s="6" t="s">
        <v>139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208</v>
      </c>
      <c r="B30" s="6" t="s">
        <v>29</v>
      </c>
      <c r="C30" s="14" t="s">
        <v>141</v>
      </c>
      <c r="D30" s="6" t="s">
        <v>141</v>
      </c>
      <c r="E30" s="6" t="s">
        <v>141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1"/>
        <v>0.60190655279584215</v>
      </c>
      <c r="T30" s="6" t="s">
        <v>58</v>
      </c>
      <c r="U30" s="6" t="s">
        <v>142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topLeftCell="A8" workbookViewId="0">
      <selection activeCell="A31" sqref="A3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52</v>
      </c>
      <c r="B5" t="s">
        <v>53</v>
      </c>
      <c r="C5" t="s">
        <v>193</v>
      </c>
      <c r="D5" t="s">
        <v>42</v>
      </c>
      <c r="E5" t="s">
        <v>192</v>
      </c>
      <c r="F5" t="s">
        <v>181</v>
      </c>
    </row>
    <row r="6" spans="1:6">
      <c r="A6" t="s">
        <v>56</v>
      </c>
      <c r="B6" t="s">
        <v>56</v>
      </c>
      <c r="D6" t="s">
        <v>57</v>
      </c>
      <c r="E6" t="s">
        <v>192</v>
      </c>
      <c r="F6" t="s">
        <v>181</v>
      </c>
    </row>
    <row r="7" spans="1:6">
      <c r="A7" t="s">
        <v>61</v>
      </c>
      <c r="B7" t="s">
        <v>62</v>
      </c>
      <c r="C7" t="s">
        <v>195</v>
      </c>
      <c r="D7" t="s">
        <v>48</v>
      </c>
      <c r="E7" t="s">
        <v>192</v>
      </c>
      <c r="F7" t="s">
        <v>181</v>
      </c>
    </row>
    <row r="8" spans="1:6">
      <c r="A8" t="s">
        <v>65</v>
      </c>
      <c r="B8" t="s">
        <v>65</v>
      </c>
      <c r="D8" t="s">
        <v>42</v>
      </c>
      <c r="E8" t="s">
        <v>192</v>
      </c>
      <c r="F8" t="s">
        <v>181</v>
      </c>
    </row>
    <row r="9" spans="1:6">
      <c r="A9" t="s">
        <v>68</v>
      </c>
      <c r="B9" t="s">
        <v>68</v>
      </c>
      <c r="D9" t="s">
        <v>42</v>
      </c>
      <c r="E9" t="s">
        <v>192</v>
      </c>
      <c r="F9" t="s">
        <v>181</v>
      </c>
    </row>
    <row r="10" spans="1:6">
      <c r="A10" t="s">
        <v>72</v>
      </c>
      <c r="B10" t="s">
        <v>73</v>
      </c>
      <c r="C10" t="s">
        <v>193</v>
      </c>
      <c r="D10" t="s">
        <v>42</v>
      </c>
      <c r="E10" t="s">
        <v>192</v>
      </c>
      <c r="F10" t="s">
        <v>181</v>
      </c>
    </row>
    <row r="11" spans="1:6">
      <c r="A11" t="s">
        <v>211</v>
      </c>
      <c r="B11" t="s">
        <v>210</v>
      </c>
      <c r="C11" t="s">
        <v>195</v>
      </c>
      <c r="D11" t="s">
        <v>48</v>
      </c>
      <c r="E11" t="s">
        <v>192</v>
      </c>
      <c r="F11" t="s">
        <v>181</v>
      </c>
    </row>
    <row r="12" spans="1:6">
      <c r="A12" t="s">
        <v>77</v>
      </c>
      <c r="B12" t="s">
        <v>78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81</v>
      </c>
      <c r="B13" t="s">
        <v>82</v>
      </c>
      <c r="C13" t="s">
        <v>196</v>
      </c>
      <c r="D13" t="s">
        <v>57</v>
      </c>
      <c r="E13" t="s">
        <v>192</v>
      </c>
      <c r="F13" t="s">
        <v>181</v>
      </c>
    </row>
    <row r="14" spans="1:6">
      <c r="A14" t="s">
        <v>84</v>
      </c>
      <c r="B14" t="s">
        <v>85</v>
      </c>
      <c r="C14" t="s">
        <v>195</v>
      </c>
      <c r="D14" t="s">
        <v>48</v>
      </c>
      <c r="E14" t="s">
        <v>192</v>
      </c>
      <c r="F14" t="s">
        <v>181</v>
      </c>
    </row>
    <row r="15" spans="1:6">
      <c r="A15" t="s">
        <v>88</v>
      </c>
      <c r="B15" t="s">
        <v>89</v>
      </c>
      <c r="C15" t="s">
        <v>193</v>
      </c>
      <c r="D15" t="s">
        <v>42</v>
      </c>
      <c r="E15" t="s">
        <v>192</v>
      </c>
      <c r="F15" t="s">
        <v>181</v>
      </c>
    </row>
    <row r="16" spans="1:6">
      <c r="A16" t="s">
        <v>212</v>
      </c>
      <c r="B16" t="s">
        <v>212</v>
      </c>
      <c r="C16" t="s">
        <v>195</v>
      </c>
      <c r="D16" t="s">
        <v>48</v>
      </c>
      <c r="E16" t="s">
        <v>192</v>
      </c>
      <c r="F16" t="s">
        <v>181</v>
      </c>
    </row>
    <row r="17" spans="1:6">
      <c r="A17" t="s">
        <v>98</v>
      </c>
      <c r="B17" t="s">
        <v>98</v>
      </c>
      <c r="D17" t="s">
        <v>48</v>
      </c>
      <c r="E17" t="s">
        <v>192</v>
      </c>
      <c r="F17" t="s">
        <v>181</v>
      </c>
    </row>
    <row r="18" spans="1:6">
      <c r="A18" t="s">
        <v>206</v>
      </c>
      <c r="B18" t="s">
        <v>207</v>
      </c>
      <c r="D18" t="s">
        <v>48</v>
      </c>
      <c r="E18" t="s">
        <v>192</v>
      </c>
      <c r="F18" t="s">
        <v>181</v>
      </c>
    </row>
    <row r="19" spans="1:6">
      <c r="A19" t="s">
        <v>104</v>
      </c>
      <c r="B19" t="s">
        <v>104</v>
      </c>
      <c r="D19" t="s">
        <v>48</v>
      </c>
      <c r="E19" t="s">
        <v>192</v>
      </c>
      <c r="F19" t="s">
        <v>181</v>
      </c>
    </row>
    <row r="20" spans="1:6">
      <c r="A20" t="s">
        <v>101</v>
      </c>
      <c r="B20" t="s">
        <v>101</v>
      </c>
      <c r="D20" t="s">
        <v>48</v>
      </c>
      <c r="E20" t="s">
        <v>192</v>
      </c>
      <c r="F20" t="s">
        <v>181</v>
      </c>
    </row>
    <row r="21" spans="1:6">
      <c r="A21" t="s">
        <v>107</v>
      </c>
      <c r="B21" t="s">
        <v>107</v>
      </c>
      <c r="D21" t="s">
        <v>48</v>
      </c>
      <c r="E21" t="s">
        <v>192</v>
      </c>
      <c r="F21" t="s">
        <v>181</v>
      </c>
    </row>
    <row r="22" spans="1:6">
      <c r="A22" t="s">
        <v>110</v>
      </c>
      <c r="B22" t="s">
        <v>110</v>
      </c>
      <c r="D22" t="s">
        <v>48</v>
      </c>
      <c r="E22" t="s">
        <v>192</v>
      </c>
      <c r="F22" t="s">
        <v>181</v>
      </c>
    </row>
    <row r="23" spans="1:6">
      <c r="A23" t="s">
        <v>113</v>
      </c>
      <c r="B23" t="s">
        <v>113</v>
      </c>
      <c r="D23" t="s">
        <v>48</v>
      </c>
      <c r="E23" t="s">
        <v>192</v>
      </c>
      <c r="F23" t="s">
        <v>181</v>
      </c>
    </row>
    <row r="24" spans="1:6">
      <c r="A24" t="s">
        <v>117</v>
      </c>
      <c r="B24" t="s">
        <v>117</v>
      </c>
      <c r="D24" t="s">
        <v>48</v>
      </c>
      <c r="E24" t="s">
        <v>192</v>
      </c>
      <c r="F24" t="s">
        <v>181</v>
      </c>
    </row>
    <row r="25" spans="1:6">
      <c r="A25" t="s">
        <v>121</v>
      </c>
      <c r="B25" t="s">
        <v>121</v>
      </c>
      <c r="D25" t="s">
        <v>48</v>
      </c>
      <c r="E25" t="s">
        <v>192</v>
      </c>
      <c r="F25" t="s">
        <v>181</v>
      </c>
    </row>
    <row r="26" spans="1:6">
      <c r="A26" t="s">
        <v>124</v>
      </c>
      <c r="B26" t="s">
        <v>124</v>
      </c>
      <c r="D26" t="s">
        <v>48</v>
      </c>
      <c r="E26" t="s">
        <v>192</v>
      </c>
      <c r="F26" t="s">
        <v>181</v>
      </c>
    </row>
    <row r="27" spans="1:6">
      <c r="A27" t="s">
        <v>127</v>
      </c>
      <c r="B27" t="s">
        <v>127</v>
      </c>
      <c r="D27" t="s">
        <v>48</v>
      </c>
      <c r="E27" t="s">
        <v>192</v>
      </c>
      <c r="F27" t="s">
        <v>181</v>
      </c>
    </row>
    <row r="28" spans="1:6">
      <c r="A28" t="s">
        <v>130</v>
      </c>
      <c r="B28" t="s">
        <v>130</v>
      </c>
      <c r="D28" t="s">
        <v>48</v>
      </c>
      <c r="E28" t="s">
        <v>192</v>
      </c>
      <c r="F28" t="s">
        <v>181</v>
      </c>
    </row>
    <row r="29" spans="1:6">
      <c r="A29" t="s">
        <v>134</v>
      </c>
      <c r="B29" t="s">
        <v>134</v>
      </c>
      <c r="D29" t="s">
        <v>48</v>
      </c>
      <c r="E29" t="s">
        <v>192</v>
      </c>
      <c r="F29" t="s">
        <v>181</v>
      </c>
    </row>
    <row r="30" spans="1:6">
      <c r="A30" t="s">
        <v>137</v>
      </c>
      <c r="B30" t="s">
        <v>137</v>
      </c>
      <c r="D30" t="s">
        <v>48</v>
      </c>
      <c r="E30" t="s">
        <v>192</v>
      </c>
      <c r="F30" t="s">
        <v>181</v>
      </c>
    </row>
    <row r="31" spans="1:6">
      <c r="A31" t="s">
        <v>141</v>
      </c>
      <c r="B31" t="s">
        <v>141</v>
      </c>
      <c r="D31" t="s">
        <v>42</v>
      </c>
      <c r="E31" t="s">
        <v>192</v>
      </c>
      <c r="F31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3"/>
  <sheetViews>
    <sheetView workbookViewId="0">
      <selection activeCell="I4" sqref="I4"/>
    </sheetView>
  </sheetViews>
  <sheetFormatPr defaultRowHeight="14"/>
  <cols>
    <col min="1" max="1" width="10.41406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213</v>
      </c>
      <c r="B2" t="s">
        <v>214</v>
      </c>
      <c r="C2" t="s">
        <v>215</v>
      </c>
      <c r="D2" t="s">
        <v>48</v>
      </c>
      <c r="F2" t="s">
        <v>201</v>
      </c>
      <c r="I2">
        <v>94</v>
      </c>
    </row>
    <row r="3" spans="1:10">
      <c r="A3" t="s">
        <v>216</v>
      </c>
      <c r="B3" t="s">
        <v>217</v>
      </c>
      <c r="C3" t="s">
        <v>217</v>
      </c>
      <c r="D3" t="s">
        <v>57</v>
      </c>
      <c r="F3" t="s">
        <v>201</v>
      </c>
      <c r="G3">
        <v>290</v>
      </c>
      <c r="H3">
        <v>375</v>
      </c>
      <c r="I3">
        <v>91</v>
      </c>
    </row>
  </sheetData>
  <conditionalFormatting sqref="G2:I201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202</v>
      </c>
      <c r="D1" s="2" t="s">
        <v>203</v>
      </c>
      <c r="E1" s="2" t="s">
        <v>204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80629</v>
      </c>
      <c r="D2" s="4">
        <v>1</v>
      </c>
      <c r="E2" s="4">
        <f>C2*D2</f>
        <v>80629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2026-09-04T14:24:45Z</dcterms:modified>
</cp:coreProperties>
</file>