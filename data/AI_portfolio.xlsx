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45142E2D-6F0C-4865-BC9B-AC0DD38F3C73}" xr6:coauthVersionLast="47" xr6:coauthVersionMax="47" xr10:uidLastSave="{00000000-0000-0000-0000-000000000000}"/>
  <bookViews>
    <workbookView xWindow="-110" yWindow="-110" windowWidth="19420" windowHeight="11500" activeTab="6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1" l="1"/>
  <c r="O30" i="1"/>
  <c r="G31" i="1"/>
  <c r="R5" i="1" l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31" i="1" l="1"/>
  <c r="N10" i="1"/>
  <c r="R10" i="1" s="1"/>
  <c r="N3" i="1"/>
  <c r="R3" i="1" s="1"/>
  <c r="P9" i="1"/>
  <c r="N11" i="1"/>
  <c r="R11" i="1" s="1"/>
  <c r="P15" i="1"/>
  <c r="N2" i="1"/>
  <c r="N20" i="1"/>
  <c r="R20" i="1" s="1"/>
  <c r="P8" i="1"/>
  <c r="P16" i="1"/>
  <c r="N17" i="1"/>
  <c r="R17" i="1" s="1"/>
  <c r="R29" i="1"/>
  <c r="Q29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2" i="1"/>
  <c r="P29" i="1"/>
  <c r="N24" i="1"/>
  <c r="N26" i="1"/>
  <c r="N13" i="1"/>
  <c r="N28" i="1"/>
  <c r="P4" i="1"/>
  <c r="N7" i="1"/>
  <c r="N23" i="1"/>
  <c r="N18" i="1"/>
  <c r="N25" i="1"/>
  <c r="N27" i="1"/>
  <c r="S30" i="1" l="1"/>
  <c r="Q3" i="1"/>
  <c r="Q11" i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6" i="1"/>
  <c r="R26" i="1"/>
  <c r="Q26" i="1"/>
  <c r="S11" i="1"/>
  <c r="R7" i="1"/>
  <c r="S7" i="1"/>
  <c r="Q7" i="1"/>
  <c r="S8" i="1"/>
  <c r="S20" i="1"/>
  <c r="S14" i="1"/>
  <c r="S24" i="1"/>
  <c r="R24" i="1"/>
  <c r="Q24" i="1"/>
  <c r="S21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3" i="1"/>
  <c r="R13" i="1"/>
  <c r="Q13" i="1"/>
  <c r="Q18" i="1"/>
  <c r="S18" i="1"/>
  <c r="R18" i="1"/>
  <c r="S10" i="1"/>
  <c r="S4" i="1"/>
  <c r="S23" i="1"/>
  <c r="R23" i="1"/>
  <c r="Q23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<sst xmlns="http://schemas.openxmlformats.org/spreadsheetml/2006/main" count="609" uniqueCount="219">
  <si>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</si>
  <si>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</si>
  <si>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</si>
  <si>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</si>
  <si>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</si>
  <si>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</si>
  <si>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</si>
  <si>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</si>
  <si>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</si>
  <si>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</si>
  <si>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</si>
  <si>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</si>
  <si>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</si>
  <si>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</si>
  <si>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</si>
  <si>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</si>
  <si>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</si>
  <si>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</si>
  <si>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</si>
  <si>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</si>
  <si>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</si>
  <si>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</si>
  <si>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</si>
  <si>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</si>
  <si>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</si>
  <si>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</si>
  <si>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</si>
  <si>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</si>
  <si>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</si>
  <si>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</si>
  <si>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</si>
  <si>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</si>
  <si>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</si>
  <si>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</si>
  <si>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</si>
  <si>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</si>
  <si>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</si>
  <si>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</si>
  <si>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</si>
  <si>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</si>
  <si>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</si>
  <si>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</si>
  <si>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</si>
  <si>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</si>
  <si>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</si>
  <si>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</si>
  <si>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</si>
  <si>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</si>
  <si>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</si>
  <si>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</si>
  <si>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</si>
  <si>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</si>
  <si>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</si>
  <si>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</si>
  <si>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</si>
  <si>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</si>
  <si>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</si>
  <si>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</si>
  <si>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</si>
  <si>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</si>
  <si>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</si>
  <si>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</si>
  <si>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</si>
  <si>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</si>
  <si>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</si>
  <si>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</si>
  <si>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</si>
  <si>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</si>
  <si>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</si>
  <si>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</si>
  <si>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</si>
  <si>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</si>
  <si>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</si>
  <si>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</si>
  <si>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</si>
  <si>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</si>
  <si>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</si>
  <si>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</si>
  <si>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</si>
  <si>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</si>
  <si>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</si>
  <si>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</si>
  <si>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</si>
  <si>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</si>
  <si>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</si>
  <si>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</si>
  <si>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</si>
  <si>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</si>
  <si>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</si>
  <si>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</si>
  <si>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</si>
  <si>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</si>
  <si>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</si>
  <si>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</si>
  <si>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</si>
  <si>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</si>
  <si>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</si>
  <si>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</si>
  <si>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</si>
  <si>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</si>
  <si>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</si>
  <si>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</si>
  <si>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</si>
  <si>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</si>
  <si>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</si>
  <si>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</si>
  <si>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</si>
  <si>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</si>
  <si>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</si>
  <si>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</si>
  <si>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</si>
  <si>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</si>
  <si>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</si>
  <si>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</si>
  <si>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</si>
  <si>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</si>
  <si>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</si>
  <si>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</si>
  <si>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</si>
  <si>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</si>
  <si>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</si>
  <si>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</si>
  <si>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</si>
  <si>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</si>
  <si>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</si>
  <si>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</si>
  <si>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</si>
  <si>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</si>
  <si>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</si>
  <si>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</si>
  <si>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</si>
  <si>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</si>
  <si>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</si>
  <si>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</si>
  <si>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</si>
  <si>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</si>
  <si>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</si>
  <si>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</si>
  <si>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</si>
  <si>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</si>
  <si>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</si>
  <si>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</si>
  <si>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</si>
  <si>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</si>
  <si>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</si>
  <si>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</si>
  <si>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</si>
  <si>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</si>
  <si>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</si>
  <si>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</si>
  <si>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</si>
  <si>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</si>
  <si>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</si>
  <si>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</si>
  <si>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</si>
  <si>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</si>
  <si>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</si>
  <si>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</si>
  <si>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</si>
  <si>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</si>
  <si>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</si>
  <si>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</si>
  <si>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</si>
  <si>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</si>
  <si>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</si>
  <si>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</si>
  <si>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</si>
  <si>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</si>
  <si>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</si>
  <si>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</si>
  <si>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</si>
  <si>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</si>
  <si>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</si>
  <si>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</si>
  <si>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</si>
  <si>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</si>
  <si>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</si>
  <si>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</si>
  <si>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</si>
  <si>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</si>
  <si>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</si>
  <si>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</si>
  <si>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</si>
  <si>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</si>
  <si>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</si>
  <si>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</si>
  <si>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</si>
  <si>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</si>
  <si>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</si>
  <si>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</si>
  <si>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</si>
  <si>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</si>
  <si>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</si>
  <si>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</si>
  <si>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</si>
  <si>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</si>
  <si>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</si>
  <si>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</si>
  <si>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</si>
  <si>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</si>
  <si>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</si>
  <si>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</si>
  <si>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</si>
  <si>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</si>
  <si>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</si>
  <si>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</si>
  <si>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</si>
  <si>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</si>
  <si>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</si>
  <si>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</si>
  <si>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</si>
  <si>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</si>
  <si>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</si>
  <si>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</si>
  <si>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</si>
  <si>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</si>
  <si>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</si>
  <si>
    <t>Vanguard FTSE All-World High Dvd Yield UCITS ETF</t>
  </si>
  <si>
    <t>VGWD.DE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</si>
</sst>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zoomScale="80" zoomScaleNormal="80" workbookViewId="0">
      <selection activeCell="J30" sqref="J30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22</v>
      </c>
      <c r="H2" s="8">
        <v>923.49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29" ca="1" si="1">IFERROR(G2*K2*L2,"")</f>
        <v/>
      </c>
      <c r="O2" s="12">
        <f>IFERROR(K2/H2-1,"")</f>
        <v>5.4694690792536971E-2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64</v>
      </c>
      <c r="H3" s="8">
        <v>493.03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31553.919999999998</v>
      </c>
      <c r="N3" s="11">
        <f t="shared" si="1"/>
        <v>40800</v>
      </c>
      <c r="O3" s="12">
        <f t="shared" ref="O3:O31" si="6">IFERROR(K3/H3-1,"")</f>
        <v>0.29302476522726817</v>
      </c>
      <c r="P3" s="12">
        <f t="shared" si="2"/>
        <v>0</v>
      </c>
      <c r="Q3" s="11">
        <f t="shared" si="3"/>
        <v>9246.0800000000017</v>
      </c>
      <c r="R3" s="12">
        <f t="shared" si="4"/>
        <v>0.29302476522726817</v>
      </c>
      <c r="S3" s="12">
        <f t="shared" ca="1" si="5"/>
        <v>5.4628818268198175E-2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5</v>
      </c>
      <c r="H4" s="8">
        <v>1126.28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0.32986468728912888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216</v>
      </c>
      <c r="D5" s="6" t="s">
        <v>215</v>
      </c>
      <c r="E5" s="6" t="s">
        <v>213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ca="1" si="5"/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125</v>
      </c>
      <c r="H6" s="8">
        <v>212.15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26518.75</v>
      </c>
      <c r="N6" s="11">
        <f t="shared" si="1"/>
        <v>47175</v>
      </c>
      <c r="O6" s="12">
        <f t="shared" si="6"/>
        <v>0.77893000235682286</v>
      </c>
      <c r="P6" s="12">
        <f t="shared" si="2"/>
        <v>0</v>
      </c>
      <c r="Q6" s="11">
        <f t="shared" si="3"/>
        <v>20656.25</v>
      </c>
      <c r="R6" s="12">
        <f t="shared" si="4"/>
        <v>0.77893000235682308</v>
      </c>
      <c r="S6" s="12">
        <f t="shared" ca="1" si="5"/>
        <v>6.3164571122604138E-2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76</v>
      </c>
      <c r="H7" s="8">
        <v>47.25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-0.15343915343915349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394.77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7.6576234262988541E-2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405.68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25557.84</v>
      </c>
      <c r="N9" s="11">
        <f t="shared" si="1"/>
        <v>57330</v>
      </c>
      <c r="O9" s="12">
        <f t="shared" si="6"/>
        <v>1.2431473082232301</v>
      </c>
      <c r="P9" s="12">
        <f t="shared" si="2"/>
        <v>0</v>
      </c>
      <c r="Q9" s="11">
        <f t="shared" si="3"/>
        <v>31772.16</v>
      </c>
      <c r="R9" s="12">
        <f t="shared" si="4"/>
        <v>1.2431473082232301</v>
      </c>
      <c r="S9" s="12">
        <f t="shared" ca="1" si="5"/>
        <v>7.6761523316563759E-2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396</v>
      </c>
      <c r="H10" s="8">
        <v>433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171468</v>
      </c>
      <c r="N10" s="11">
        <f t="shared" si="1"/>
        <v>118008</v>
      </c>
      <c r="O10" s="12">
        <f t="shared" si="6"/>
        <v>-0.31177829099307164</v>
      </c>
      <c r="P10" s="12">
        <f t="shared" si="2"/>
        <v>0</v>
      </c>
      <c r="Q10" s="11">
        <f t="shared" si="3"/>
        <v>-53460</v>
      </c>
      <c r="R10" s="12">
        <f t="shared" si="4"/>
        <v>-0.31177829099307164</v>
      </c>
      <c r="S10" s="12">
        <f t="shared" ca="1" si="5"/>
        <v>0.15800582319101789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33</v>
      </c>
      <c r="H11" s="8">
        <v>710.62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23450.46</v>
      </c>
      <c r="N11" s="11">
        <f t="shared" si="1"/>
        <v>27944.399999999998</v>
      </c>
      <c r="O11" s="12">
        <f t="shared" si="6"/>
        <v>0.19163547324871222</v>
      </c>
      <c r="P11" s="12">
        <f t="shared" si="2"/>
        <v>0</v>
      </c>
      <c r="Q11" s="11">
        <f t="shared" si="3"/>
        <v>4493.9399999999987</v>
      </c>
      <c r="R11" s="12">
        <f t="shared" si="4"/>
        <v>0.19163547324871244</v>
      </c>
      <c r="S11" s="12">
        <f t="shared" ca="1" si="5"/>
        <v>3.7415920323868548E-2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206</v>
      </c>
      <c r="D12" s="6" t="s">
        <v>208</v>
      </c>
      <c r="E12" s="6" t="s">
        <v>207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139.62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0.12963758773814638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8</v>
      </c>
      <c r="H14" s="8">
        <v>408.97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2.2079859158373516E-2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155.74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20713.420000000002</v>
      </c>
      <c r="N15" s="11">
        <f t="shared" si="1"/>
        <v>23481.15</v>
      </c>
      <c r="O15" s="12">
        <f t="shared" si="6"/>
        <v>0.13362013612430967</v>
      </c>
      <c r="P15" s="12">
        <f t="shared" si="2"/>
        <v>0</v>
      </c>
      <c r="Q15" s="11">
        <f t="shared" si="3"/>
        <v>2767.7299999999996</v>
      </c>
      <c r="R15" s="12">
        <f t="shared" si="4"/>
        <v>0.13362013612430967</v>
      </c>
      <c r="S15" s="12">
        <f t="shared" ca="1" si="5"/>
        <v>3.1439889119566217E-2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209</v>
      </c>
      <c r="E16" s="6" t="s">
        <v>209</v>
      </c>
      <c r="F16" s="6"/>
      <c r="G16" s="7">
        <v>12</v>
      </c>
      <c r="H16" s="8">
        <v>60.59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-4.2746327776860937E-2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46.039000000000001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4.2594322205086854E-2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-0.20580110497237569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202</v>
      </c>
      <c r="D19" s="6" t="s">
        <v>203</v>
      </c>
      <c r="E19" s="6" t="s">
        <v>204</v>
      </c>
      <c r="F19" s="6"/>
      <c r="G19" s="7">
        <v>50</v>
      </c>
      <c r="H19" s="8">
        <v>80.14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-1.4225106064387316E-2</v>
      </c>
      <c r="P19" s="12"/>
      <c r="Q19" s="11"/>
      <c r="R19" s="12"/>
      <c r="S19" s="12"/>
      <c r="T19" s="6" t="s">
        <v>136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10.62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-0.12429378531073432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1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313</v>
      </c>
      <c r="H21" s="8">
        <v>10.427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0.63038266040088242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1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109</v>
      </c>
      <c r="B22" s="6" t="s">
        <v>92</v>
      </c>
      <c r="C22" s="14" t="s">
        <v>110</v>
      </c>
      <c r="D22" s="6" t="s">
        <v>111</v>
      </c>
      <c r="E22" s="6" t="s">
        <v>111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1"/>
        <v>0</v>
      </c>
      <c r="T22" s="6" t="s">
        <v>112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113</v>
      </c>
      <c r="B23" s="6" t="s">
        <v>92</v>
      </c>
      <c r="C23" s="14" t="s">
        <v>114</v>
      </c>
      <c r="D23" s="6" t="s">
        <v>115</v>
      </c>
      <c r="E23" s="6" t="s">
        <v>115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1"/>
        <v>0</v>
      </c>
      <c r="T23" s="6" t="s">
        <v>116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117</v>
      </c>
      <c r="B24" s="6" t="s">
        <v>92</v>
      </c>
      <c r="C24" s="14" t="s">
        <v>118</v>
      </c>
      <c r="D24" s="6" t="s">
        <v>119</v>
      </c>
      <c r="E24" s="6" t="s">
        <v>119</v>
      </c>
      <c r="F24" s="6"/>
      <c r="G24" s="7">
        <v>47</v>
      </c>
      <c r="H24" s="8">
        <v>28.1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-7.4733096085409345E-2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1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120</v>
      </c>
      <c r="B25" s="6" t="s">
        <v>92</v>
      </c>
      <c r="C25" s="14" t="s">
        <v>121</v>
      </c>
      <c r="D25" s="6" t="s">
        <v>122</v>
      </c>
      <c r="E25" s="6" t="s">
        <v>122</v>
      </c>
      <c r="F25" s="6"/>
      <c r="G25" s="7">
        <v>161</v>
      </c>
      <c r="H25" s="8">
        <v>16.59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-0.27667269439421338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1"/>
        <v>0</v>
      </c>
      <c r="T25" s="6" t="s">
        <v>94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123</v>
      </c>
      <c r="B26" s="6" t="s">
        <v>92</v>
      </c>
      <c r="C26" s="14" t="s">
        <v>124</v>
      </c>
      <c r="D26" s="6" t="s">
        <v>125</v>
      </c>
      <c r="E26" s="6" t="s">
        <v>125</v>
      </c>
      <c r="F26" s="6"/>
      <c r="G26" s="7">
        <v>16</v>
      </c>
      <c r="H26" s="8">
        <v>58.1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-7.056798623063687E-2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1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126</v>
      </c>
      <c r="B27" s="6" t="s">
        <v>92</v>
      </c>
      <c r="C27" s="14" t="s">
        <v>127</v>
      </c>
      <c r="D27" s="6" t="s">
        <v>128</v>
      </c>
      <c r="E27" s="6" t="s">
        <v>128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1"/>
        <v>0</v>
      </c>
      <c r="T27" s="6" t="s">
        <v>129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130</v>
      </c>
      <c r="B28" s="6" t="s">
        <v>92</v>
      </c>
      <c r="C28" s="14" t="s">
        <v>131</v>
      </c>
      <c r="D28" s="6" t="s">
        <v>132</v>
      </c>
      <c r="E28" s="6" t="s">
        <v>132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1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133</v>
      </c>
      <c r="B29" s="6" t="s">
        <v>92</v>
      </c>
      <c r="C29" s="14" t="s">
        <v>134</v>
      </c>
      <c r="D29" s="6" t="s">
        <v>135</v>
      </c>
      <c r="E29" s="6" t="s">
        <v>135</v>
      </c>
      <c r="F29" s="6"/>
      <c r="G29" s="7">
        <v>38</v>
      </c>
      <c r="H29" s="8">
        <v>166.35</v>
      </c>
      <c r="I29" s="6" t="s">
        <v>48</v>
      </c>
      <c r="J29" s="9"/>
      <c r="K29" s="8">
        <v>175.52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5.5124737000300739E-2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1"/>
        <v>0</v>
      </c>
      <c r="T29" s="6" t="s">
        <v>136</v>
      </c>
      <c r="U29" s="6" t="s">
        <v>137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138</v>
      </c>
      <c r="B30" s="6" t="s">
        <v>92</v>
      </c>
      <c r="C30" s="14" t="s">
        <v>217</v>
      </c>
      <c r="D30" s="6" t="s">
        <v>218</v>
      </c>
      <c r="E30" s="6" t="s">
        <v>218</v>
      </c>
      <c r="F30" s="6"/>
      <c r="G30" s="7">
        <v>17</v>
      </c>
      <c r="H30" s="8">
        <v>80.75</v>
      </c>
      <c r="I30" s="6" t="s">
        <v>48</v>
      </c>
      <c r="J30" s="9"/>
      <c r="K30" s="8">
        <v>80.75</v>
      </c>
      <c r="L30" s="13"/>
      <c r="M30" s="11">
        <f t="shared" si="0"/>
        <v>0</v>
      </c>
      <c r="N30" s="11"/>
      <c r="O30" s="12">
        <f t="shared" si="6"/>
        <v>0</v>
      </c>
      <c r="P30" s="12"/>
      <c r="Q30" s="11"/>
      <c r="R30" s="12"/>
      <c r="S30" s="12">
        <f t="shared" ca="1" si="11"/>
        <v>0</v>
      </c>
      <c r="T30" s="6" t="s">
        <v>136</v>
      </c>
      <c r="U30" s="6" t="s">
        <v>137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205</v>
      </c>
      <c r="B31" s="6" t="s">
        <v>29</v>
      </c>
      <c r="C31" s="14" t="s">
        <v>139</v>
      </c>
      <c r="D31" s="6" t="s">
        <v>139</v>
      </c>
      <c r="E31" s="6" t="s">
        <v>139</v>
      </c>
      <c r="F31" s="6"/>
      <c r="G31" s="7">
        <f>260</f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1"/>
        <v>0.57858345465818117</v>
      </c>
      <c r="T31" s="6" t="s">
        <v>58</v>
      </c>
      <c r="U31" s="6" t="s">
        <v>140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A4" sqref="A4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27</v>
      </c>
    </row>
    <row r="2" spans="1:6">
      <c r="A2" t="s">
        <v>35</v>
      </c>
      <c r="B2" t="s">
        <v>145</v>
      </c>
      <c r="C2" t="s">
        <v>35</v>
      </c>
      <c r="D2" s="1" t="b">
        <v>1</v>
      </c>
      <c r="E2" s="1" t="b">
        <v>1</v>
      </c>
    </row>
    <row r="3" spans="1:6">
      <c r="A3" t="s">
        <v>137</v>
      </c>
      <c r="B3" t="s">
        <v>137</v>
      </c>
      <c r="C3" t="s">
        <v>137</v>
      </c>
      <c r="D3" s="1" t="b">
        <v>1</v>
      </c>
      <c r="E3" s="1" t="b">
        <v>1</v>
      </c>
    </row>
    <row r="4" spans="1:6">
      <c r="A4" t="s">
        <v>140</v>
      </c>
      <c r="B4" t="s">
        <v>146</v>
      </c>
      <c r="C4" t="s">
        <v>147</v>
      </c>
      <c r="D4" s="1" t="b">
        <v>1</v>
      </c>
      <c r="E4" s="1" t="b">
        <v>0</v>
      </c>
      <c r="F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149</v>
      </c>
      <c r="B1" s="2" t="s">
        <v>150</v>
      </c>
      <c r="C1" s="2" t="s">
        <v>151</v>
      </c>
      <c r="D1" s="2" t="s">
        <v>152</v>
      </c>
    </row>
    <row r="2" spans="1:4">
      <c r="A2" t="s">
        <v>153</v>
      </c>
      <c r="B2" t="s">
        <v>154</v>
      </c>
      <c r="D2" t="s">
        <v>155</v>
      </c>
    </row>
    <row r="3" spans="1:4">
      <c r="A3" t="s">
        <v>156</v>
      </c>
      <c r="B3" s="5">
        <v>0.02</v>
      </c>
      <c r="C3" t="s">
        <v>157</v>
      </c>
      <c r="D3" t="s">
        <v>158</v>
      </c>
    </row>
    <row r="4" spans="1:4">
      <c r="A4" t="s">
        <v>159</v>
      </c>
      <c r="B4" s="5">
        <v>0.14000000000000001</v>
      </c>
      <c r="C4" t="s">
        <v>157</v>
      </c>
      <c r="D4" t="s">
        <v>160</v>
      </c>
    </row>
    <row r="5" spans="1:4">
      <c r="A5" t="s">
        <v>161</v>
      </c>
      <c r="B5" s="5">
        <v>0.25</v>
      </c>
      <c r="C5" t="s">
        <v>157</v>
      </c>
      <c r="D5" t="s">
        <v>162</v>
      </c>
    </row>
    <row r="6" spans="1:4">
      <c r="A6" t="s">
        <v>163</v>
      </c>
      <c r="B6" s="5">
        <v>0.25</v>
      </c>
      <c r="C6" t="s">
        <v>157</v>
      </c>
      <c r="D6" t="s">
        <v>162</v>
      </c>
    </row>
    <row r="7" spans="1:4">
      <c r="A7" t="s">
        <v>164</v>
      </c>
      <c r="B7" s="5">
        <v>0.2</v>
      </c>
      <c r="C7" t="s">
        <v>157</v>
      </c>
      <c r="D7" t="s">
        <v>162</v>
      </c>
    </row>
    <row r="8" spans="1:4">
      <c r="A8" t="s">
        <v>165</v>
      </c>
      <c r="B8" s="5">
        <v>0.2</v>
      </c>
      <c r="C8" t="s">
        <v>157</v>
      </c>
      <c r="D8" t="s">
        <v>162</v>
      </c>
    </row>
    <row r="9" spans="1:4">
      <c r="A9" t="s">
        <v>166</v>
      </c>
      <c r="B9" s="5">
        <v>0.1</v>
      </c>
      <c r="C9" t="s">
        <v>157</v>
      </c>
      <c r="D9" t="s">
        <v>162</v>
      </c>
    </row>
    <row r="10" spans="1:4">
      <c r="A10" t="s">
        <v>167</v>
      </c>
      <c r="B10" t="s">
        <v>168</v>
      </c>
      <c r="D10" t="s">
        <v>169</v>
      </c>
    </row>
    <row r="11" spans="1:4">
      <c r="A11" t="s">
        <v>170</v>
      </c>
      <c r="B11">
        <v>5</v>
      </c>
      <c r="C11" t="s">
        <v>171</v>
      </c>
      <c r="D11" t="s">
        <v>172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</row>
    <row r="2" spans="1:7">
      <c r="A2" t="s">
        <v>42</v>
      </c>
      <c r="B2" s="3">
        <v>1</v>
      </c>
      <c r="D2" t="s">
        <v>178</v>
      </c>
      <c r="E2">
        <v>1</v>
      </c>
      <c r="F2" s="1" t="b">
        <v>0</v>
      </c>
      <c r="G2" t="s">
        <v>179</v>
      </c>
    </row>
    <row r="3" spans="1:7">
      <c r="A3" t="s">
        <v>48</v>
      </c>
      <c r="B3" s="3"/>
      <c r="D3" t="s">
        <v>180</v>
      </c>
      <c r="F3" s="1" t="b">
        <v>0</v>
      </c>
      <c r="G3" t="s">
        <v>181</v>
      </c>
    </row>
    <row r="4" spans="1:7">
      <c r="A4" t="s">
        <v>57</v>
      </c>
      <c r="B4" s="3"/>
      <c r="D4" t="s">
        <v>180</v>
      </c>
      <c r="F4" s="1" t="b">
        <v>0</v>
      </c>
      <c r="G4" t="s">
        <v>181</v>
      </c>
    </row>
    <row r="5" spans="1:7">
      <c r="A5" t="s">
        <v>33</v>
      </c>
      <c r="B5" s="3"/>
      <c r="D5" t="s">
        <v>180</v>
      </c>
      <c r="F5" s="1" t="b">
        <v>0</v>
      </c>
      <c r="G5" t="s">
        <v>181</v>
      </c>
    </row>
    <row r="6" spans="1:7">
      <c r="A6" t="s">
        <v>182</v>
      </c>
      <c r="B6" s="3"/>
      <c r="D6" t="s">
        <v>180</v>
      </c>
      <c r="F6" s="1" t="b">
        <v>0</v>
      </c>
      <c r="G6" t="s">
        <v>181</v>
      </c>
    </row>
    <row r="7" spans="1:7">
      <c r="A7" t="s">
        <v>183</v>
      </c>
      <c r="B7" s="3"/>
      <c r="D7" t="s">
        <v>180</v>
      </c>
      <c r="F7" s="1" t="b">
        <v>0</v>
      </c>
      <c r="G7" t="s">
        <v>181</v>
      </c>
    </row>
    <row r="8" spans="1:7">
      <c r="A8" t="s">
        <v>184</v>
      </c>
      <c r="B8" s="3"/>
      <c r="D8" t="s">
        <v>180</v>
      </c>
      <c r="F8" s="1" t="b">
        <v>0</v>
      </c>
      <c r="G8" t="s">
        <v>181</v>
      </c>
    </row>
    <row r="9" spans="1:7">
      <c r="A9" t="s">
        <v>185</v>
      </c>
      <c r="B9" s="3"/>
      <c r="D9" t="s">
        <v>180</v>
      </c>
      <c r="F9" s="1" t="b">
        <v>0</v>
      </c>
      <c r="G9" t="s">
        <v>181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A23" sqref="A23:XFD23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186</v>
      </c>
      <c r="D1" s="2" t="s">
        <v>8</v>
      </c>
      <c r="E1" s="2" t="s">
        <v>187</v>
      </c>
      <c r="F1" s="2" t="s">
        <v>188</v>
      </c>
    </row>
    <row r="2" spans="1:6">
      <c r="A2" t="s">
        <v>31</v>
      </c>
      <c r="B2" t="s">
        <v>32</v>
      </c>
      <c r="C2" t="s">
        <v>189</v>
      </c>
      <c r="D2" t="s">
        <v>33</v>
      </c>
      <c r="E2" t="s">
        <v>190</v>
      </c>
      <c r="F2" t="s">
        <v>179</v>
      </c>
    </row>
    <row r="3" spans="1:6">
      <c r="A3" t="s">
        <v>40</v>
      </c>
      <c r="B3" t="s">
        <v>41</v>
      </c>
      <c r="C3" t="s">
        <v>191</v>
      </c>
      <c r="D3" t="s">
        <v>42</v>
      </c>
      <c r="E3" t="s">
        <v>190</v>
      </c>
      <c r="F3" t="s">
        <v>179</v>
      </c>
    </row>
    <row r="4" spans="1:6">
      <c r="A4" t="s">
        <v>46</v>
      </c>
      <c r="B4" t="s">
        <v>47</v>
      </c>
      <c r="C4" t="s">
        <v>192</v>
      </c>
      <c r="D4" t="s">
        <v>48</v>
      </c>
      <c r="E4" t="s">
        <v>190</v>
      </c>
      <c r="F4" t="s">
        <v>179</v>
      </c>
    </row>
    <row r="5" spans="1:6">
      <c r="A5" t="s">
        <v>215</v>
      </c>
      <c r="B5" t="s">
        <v>213</v>
      </c>
      <c r="C5" t="s">
        <v>194</v>
      </c>
      <c r="D5" t="s">
        <v>57</v>
      </c>
      <c r="E5" t="s">
        <v>190</v>
      </c>
      <c r="F5" t="s">
        <v>179</v>
      </c>
    </row>
    <row r="6" spans="1:6">
      <c r="A6" t="s">
        <v>52</v>
      </c>
      <c r="B6" t="s">
        <v>53</v>
      </c>
      <c r="C6" t="s">
        <v>191</v>
      </c>
      <c r="D6" t="s">
        <v>42</v>
      </c>
      <c r="E6" t="s">
        <v>190</v>
      </c>
      <c r="F6" t="s">
        <v>179</v>
      </c>
    </row>
    <row r="7" spans="1:6">
      <c r="A7" t="s">
        <v>56</v>
      </c>
      <c r="B7" t="s">
        <v>56</v>
      </c>
      <c r="D7" t="s">
        <v>57</v>
      </c>
      <c r="E7" t="s">
        <v>190</v>
      </c>
      <c r="F7" t="s">
        <v>179</v>
      </c>
    </row>
    <row r="8" spans="1:6">
      <c r="A8" t="s">
        <v>61</v>
      </c>
      <c r="B8" t="s">
        <v>62</v>
      </c>
      <c r="C8" t="s">
        <v>193</v>
      </c>
      <c r="D8" t="s">
        <v>48</v>
      </c>
      <c r="E8" t="s">
        <v>190</v>
      </c>
      <c r="F8" t="s">
        <v>179</v>
      </c>
    </row>
    <row r="9" spans="1:6">
      <c r="A9" t="s">
        <v>65</v>
      </c>
      <c r="B9" t="s">
        <v>65</v>
      </c>
      <c r="D9" t="s">
        <v>42</v>
      </c>
      <c r="E9" t="s">
        <v>190</v>
      </c>
      <c r="F9" t="s">
        <v>179</v>
      </c>
    </row>
    <row r="10" spans="1:6">
      <c r="A10" t="s">
        <v>68</v>
      </c>
      <c r="B10" t="s">
        <v>68</v>
      </c>
      <c r="D10" t="s">
        <v>42</v>
      </c>
      <c r="E10" t="s">
        <v>190</v>
      </c>
      <c r="F10" t="s">
        <v>179</v>
      </c>
    </row>
    <row r="11" spans="1:6">
      <c r="A11" t="s">
        <v>72</v>
      </c>
      <c r="B11" t="s">
        <v>73</v>
      </c>
      <c r="C11" t="s">
        <v>191</v>
      </c>
      <c r="D11" t="s">
        <v>42</v>
      </c>
      <c r="E11" t="s">
        <v>190</v>
      </c>
      <c r="F11" t="s">
        <v>179</v>
      </c>
    </row>
    <row r="12" spans="1:6">
      <c r="A12" t="s">
        <v>208</v>
      </c>
      <c r="B12" t="s">
        <v>207</v>
      </c>
      <c r="C12" t="s">
        <v>193</v>
      </c>
      <c r="D12" t="s">
        <v>48</v>
      </c>
      <c r="E12" t="s">
        <v>190</v>
      </c>
      <c r="F12" t="s">
        <v>179</v>
      </c>
    </row>
    <row r="13" spans="1:6">
      <c r="A13" t="s">
        <v>77</v>
      </c>
      <c r="B13" t="s">
        <v>78</v>
      </c>
      <c r="C13" t="s">
        <v>193</v>
      </c>
      <c r="D13" t="s">
        <v>48</v>
      </c>
      <c r="E13" t="s">
        <v>190</v>
      </c>
      <c r="F13" t="s">
        <v>179</v>
      </c>
    </row>
    <row r="14" spans="1:6">
      <c r="A14" t="s">
        <v>81</v>
      </c>
      <c r="B14" t="s">
        <v>82</v>
      </c>
      <c r="C14" t="s">
        <v>194</v>
      </c>
      <c r="D14" t="s">
        <v>57</v>
      </c>
      <c r="E14" t="s">
        <v>190</v>
      </c>
      <c r="F14" t="s">
        <v>179</v>
      </c>
    </row>
    <row r="15" spans="1:6">
      <c r="A15" t="s">
        <v>84</v>
      </c>
      <c r="B15" t="s">
        <v>85</v>
      </c>
      <c r="C15" t="s">
        <v>193</v>
      </c>
      <c r="D15" t="s">
        <v>48</v>
      </c>
      <c r="E15" t="s">
        <v>190</v>
      </c>
      <c r="F15" t="s">
        <v>179</v>
      </c>
    </row>
    <row r="16" spans="1:6">
      <c r="A16" t="s">
        <v>88</v>
      </c>
      <c r="B16" t="s">
        <v>89</v>
      </c>
      <c r="C16" t="s">
        <v>191</v>
      </c>
      <c r="D16" t="s">
        <v>42</v>
      </c>
      <c r="E16" t="s">
        <v>190</v>
      </c>
      <c r="F16" t="s">
        <v>179</v>
      </c>
    </row>
    <row r="17" spans="1:6">
      <c r="A17" t="s">
        <v>209</v>
      </c>
      <c r="B17" t="s">
        <v>209</v>
      </c>
      <c r="C17" t="s">
        <v>193</v>
      </c>
      <c r="D17" t="s">
        <v>48</v>
      </c>
      <c r="E17" t="s">
        <v>190</v>
      </c>
      <c r="F17" t="s">
        <v>179</v>
      </c>
    </row>
    <row r="18" spans="1:6">
      <c r="A18" t="s">
        <v>98</v>
      </c>
      <c r="B18" t="s">
        <v>98</v>
      </c>
      <c r="D18" t="s">
        <v>48</v>
      </c>
      <c r="E18" t="s">
        <v>190</v>
      </c>
      <c r="F18" t="s">
        <v>179</v>
      </c>
    </row>
    <row r="19" spans="1:6">
      <c r="A19" t="s">
        <v>203</v>
      </c>
      <c r="B19" t="s">
        <v>204</v>
      </c>
      <c r="D19" t="s">
        <v>48</v>
      </c>
      <c r="E19" t="s">
        <v>190</v>
      </c>
      <c r="F19" t="s">
        <v>179</v>
      </c>
    </row>
    <row r="20" spans="1:6">
      <c r="A20" t="s">
        <v>104</v>
      </c>
      <c r="B20" t="s">
        <v>104</v>
      </c>
      <c r="D20" t="s">
        <v>48</v>
      </c>
      <c r="E20" t="s">
        <v>190</v>
      </c>
      <c r="F20" t="s">
        <v>179</v>
      </c>
    </row>
    <row r="21" spans="1:6">
      <c r="A21" t="s">
        <v>101</v>
      </c>
      <c r="B21" t="s">
        <v>101</v>
      </c>
      <c r="D21" t="s">
        <v>48</v>
      </c>
      <c r="E21" t="s">
        <v>190</v>
      </c>
      <c r="F21" t="s">
        <v>179</v>
      </c>
    </row>
    <row r="22" spans="1:6">
      <c r="A22" t="s">
        <v>107</v>
      </c>
      <c r="B22" t="s">
        <v>107</v>
      </c>
      <c r="D22" t="s">
        <v>48</v>
      </c>
      <c r="E22" t="s">
        <v>190</v>
      </c>
      <c r="F22" t="s">
        <v>179</v>
      </c>
    </row>
    <row r="23" spans="1:6">
      <c r="A23" t="s">
        <v>111</v>
      </c>
      <c r="B23" t="s">
        <v>111</v>
      </c>
      <c r="D23" t="s">
        <v>48</v>
      </c>
      <c r="E23" t="s">
        <v>190</v>
      </c>
      <c r="F23" t="s">
        <v>179</v>
      </c>
    </row>
    <row r="24" spans="1:6">
      <c r="A24" t="s">
        <v>115</v>
      </c>
      <c r="B24" t="s">
        <v>115</v>
      </c>
      <c r="D24" t="s">
        <v>48</v>
      </c>
      <c r="E24" t="s">
        <v>190</v>
      </c>
      <c r="F24" t="s">
        <v>179</v>
      </c>
    </row>
    <row r="25" spans="1:6">
      <c r="A25" t="s">
        <v>119</v>
      </c>
      <c r="B25" t="s">
        <v>119</v>
      </c>
      <c r="D25" t="s">
        <v>48</v>
      </c>
      <c r="E25" t="s">
        <v>190</v>
      </c>
      <c r="F25" t="s">
        <v>179</v>
      </c>
    </row>
    <row r="26" spans="1:6">
      <c r="A26" t="s">
        <v>122</v>
      </c>
      <c r="B26" t="s">
        <v>122</v>
      </c>
      <c r="D26" t="s">
        <v>48</v>
      </c>
      <c r="E26" t="s">
        <v>190</v>
      </c>
      <c r="F26" t="s">
        <v>179</v>
      </c>
    </row>
    <row r="27" spans="1:6">
      <c r="A27" t="s">
        <v>125</v>
      </c>
      <c r="B27" t="s">
        <v>125</v>
      </c>
      <c r="D27" t="s">
        <v>48</v>
      </c>
      <c r="E27" t="s">
        <v>190</v>
      </c>
      <c r="F27" t="s">
        <v>179</v>
      </c>
    </row>
    <row r="28" spans="1:6">
      <c r="A28" t="s">
        <v>128</v>
      </c>
      <c r="B28" t="s">
        <v>128</v>
      </c>
      <c r="D28" t="s">
        <v>48</v>
      </c>
      <c r="E28" t="s">
        <v>190</v>
      </c>
      <c r="F28" t="s">
        <v>179</v>
      </c>
    </row>
    <row r="29" spans="1:6">
      <c r="A29" t="s">
        <v>132</v>
      </c>
      <c r="B29" t="s">
        <v>132</v>
      </c>
      <c r="D29" t="s">
        <v>48</v>
      </c>
      <c r="E29" t="s">
        <v>190</v>
      </c>
      <c r="F29" t="s">
        <v>179</v>
      </c>
    </row>
    <row r="30" spans="1:6">
      <c r="A30" t="s">
        <v>135</v>
      </c>
      <c r="B30" t="s">
        <v>135</v>
      </c>
      <c r="D30" t="s">
        <v>48</v>
      </c>
      <c r="E30" t="s">
        <v>190</v>
      </c>
      <c r="F30" t="s">
        <v>179</v>
      </c>
    </row>
    <row r="31" spans="1:6">
      <c r="A31" t="s">
        <v>218</v>
      </c>
      <c r="B31" t="s">
        <v>218</v>
      </c>
      <c r="D31" t="s">
        <v>48</v>
      </c>
      <c r="E31" t="s">
        <v>190</v>
      </c>
      <c r="F31" t="s">
        <v>179</v>
      </c>
    </row>
    <row r="32" spans="1:6">
      <c r="A32" t="s">
        <v>139</v>
      </c>
      <c r="B32" t="s">
        <v>139</v>
      </c>
      <c r="D32" t="s">
        <v>42</v>
      </c>
      <c r="E32" t="s">
        <v>190</v>
      </c>
      <c r="F32" t="s">
        <v>179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F15" sqref="F15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27</v>
      </c>
    </row>
    <row r="2" spans="1:10">
      <c r="A2" t="s">
        <v>210</v>
      </c>
      <c r="B2" t="s">
        <v>211</v>
      </c>
      <c r="C2" t="s">
        <v>212</v>
      </c>
      <c r="D2" t="s">
        <v>48</v>
      </c>
      <c r="E2" t="s">
        <v>49</v>
      </c>
      <c r="I2">
        <v>94</v>
      </c>
      <c r="J2" t="s">
        <v>214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tabSelected="1" workbookViewId="0">
      <selection activeCell="C3" sqref="C3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199</v>
      </c>
      <c r="D1" s="2" t="s">
        <v>200</v>
      </c>
      <c r="E1" s="2" t="s">
        <v>201</v>
      </c>
      <c r="F1" s="2" t="s">
        <v>143</v>
      </c>
      <c r="G1" s="2" t="s">
        <v>144</v>
      </c>
    </row>
    <row r="2" spans="1:7">
      <c r="A2" t="s">
        <v>35</v>
      </c>
      <c r="B2" t="s">
        <v>42</v>
      </c>
      <c r="C2" s="4">
        <v>126504</v>
      </c>
      <c r="D2" s="4">
        <v>1</v>
      </c>
      <c r="E2" s="4">
        <f>C2*D2</f>
        <v>126504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2026-10-22T15:22:23Z</dcterms:modified>
</cp:coreProperties>
</file>